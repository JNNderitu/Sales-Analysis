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istrator\OneDrive\Documents\Courses\Power BI Challenge\WEEK 2\"/>
    </mc:Choice>
  </mc:AlternateContent>
  <xr:revisionPtr revIDLastSave="0" documentId="13_ncr:1_{8714E700-326B-405B-BAB0-6E8D7C23DABC}" xr6:coauthVersionLast="47" xr6:coauthVersionMax="47" xr10:uidLastSave="{00000000-0000-0000-0000-000000000000}"/>
  <bookViews>
    <workbookView xWindow="-120" yWindow="-120" windowWidth="24240" windowHeight="13140" activeTab="2" xr2:uid="{05FF53C7-0177-4A6D-90F7-0256C53B9C48}"/>
  </bookViews>
  <sheets>
    <sheet name="Pivot tables" sheetId="3" r:id="rId1"/>
    <sheet name="Project 2;Online_Course_Sales" sheetId="2" r:id="rId2"/>
    <sheet name="Sales Analysis" sheetId="4" r:id="rId3"/>
  </sheets>
  <definedNames>
    <definedName name="_xlnm._FilterDatabase" localSheetId="1" hidden="1">'Project 2;Online_Course_Sales'!$M$2:$M$21</definedName>
    <definedName name="_xlchart.v1.0" hidden="1">'Project 2;Online_Course_Sales'!$D$2:$D$301</definedName>
    <definedName name="_xlchart.v1.1" hidden="1">'Project 2;Online_Course_Sales'!$J$2:$J$301</definedName>
    <definedName name="_xlcn.WorksheetConnection_Book1Project_2_Online_Course_Sales1" hidden="1">'Project 2;Online_Course_Sales'!$A$1:$J$301</definedName>
    <definedName name="_xlcn.WorksheetConnection_Project2Online_Course_SalesA1J3011" hidden="1">'Project 2;Online_Course_Sales'!$A$1:$J$301</definedName>
    <definedName name="_xlcn.WorksheetConnection_SalesAnalysisExcel.xlsxTable11" hidden="1">Table1[]</definedName>
    <definedName name="Slicer_Category">#N/A</definedName>
    <definedName name="Slicer_Instructor1">#N/A</definedName>
    <definedName name="Slicer_Payment_Method">#N/A</definedName>
  </definedNames>
  <calcPr calcId="191029"/>
  <pivotCaches>
    <pivotCache cacheId="766" r:id="rId4"/>
    <pivotCache cacheId="767" r:id="rId5"/>
    <pivotCache cacheId="768" r:id="rId6"/>
    <pivotCache cacheId="769" r:id="rId7"/>
    <pivotCache cacheId="770" r:id="rId8"/>
    <pivotCache cacheId="775" r:id="rId9"/>
    <pivotCache cacheId="772" r:id="rId10"/>
    <pivotCache cacheId="773" r:id="rId11"/>
  </pivotCaches>
  <extLst>
    <ext xmlns:x14="http://schemas.microsoft.com/office/spreadsheetml/2009/9/main" uri="{876F7934-8845-4945-9796-88D515C7AA90}">
      <x14:pivotCaches>
        <pivotCache cacheId="611"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roject 2;Online_Course_Sales!$A$1:$J$301"/>
          <x15:modelTable id="Project_2_Online_Course_Sales" name="Project_2_Online_Course_Sales" connection="WorksheetConnection_Book1!Project_2_Online_Course_Sales"/>
          <x15:modelTable id="Table1" name="Table1" connection="WorksheetConnection_Sales Analysis (Excel).xlsx!Table1"/>
        </x15:modelTables>
        <x15:extLst>
          <ext xmlns:x16="http://schemas.microsoft.com/office/spreadsheetml/2014/11/main" uri="{9835A34E-60A6-4A7C-AAB8-D5F71C897F49}">
            <x16:modelTimeGroupings>
              <x16:modelTimeGrouping tableName="Project_2_Online_Course_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N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C1EFA-596C-4E9A-A077-1D8ACBA3BE7E}" keepAlive="1" name="Query - Project 2;Online_Course_Sales" description="Connection to the 'Project 2;Online_Course_Sales' query in the workbook." type="5" refreshedVersion="8" background="1" saveData="1">
    <dbPr connection="Provider=Microsoft.Mashup.OleDb.1;Data Source=$Workbook$;Location=&quot;Project 2;Online_Course_Sales&quot;;Extended Properties=&quot;&quot;" command="SELECT * FROM [Project 2;Online_Course_Sales]"/>
  </connection>
  <connection id="2" xr16:uid="{3F5B3159-9D48-413D-B7B4-1E59B288A18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B078748D-F51D-4249-AC77-DC43E4244BB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4" xr16:uid="{01F13673-B182-4958-8F5C-D13EF8D6F0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D8D2316-6643-4358-8CB6-1719C527571C}" name="WorksheetConnection_Book1!Project_2_Online_Course_Sales" type="102" refreshedVersion="8" minRefreshableVersion="5">
    <extLst>
      <ext xmlns:x15="http://schemas.microsoft.com/office/spreadsheetml/2010/11/main" uri="{DE250136-89BD-433C-8126-D09CA5730AF9}">
        <x15:connection id="Project_2_Online_Course_Sales" autoDelete="1">
          <x15:rangePr sourceName="_xlcn.WorksheetConnection_Book1Project_2_Online_Course_Sales1"/>
        </x15:connection>
      </ext>
    </extLst>
  </connection>
  <connection id="6" xr16:uid="{3250DB87-09E3-45FE-B692-0708001C47B9}" name="WorksheetConnection_Project 2;Online_Course_Sales!$A$1:$J$301" type="102" refreshedVersion="8" minRefreshableVersion="5">
    <extLst>
      <ext xmlns:x15="http://schemas.microsoft.com/office/spreadsheetml/2010/11/main" uri="{DE250136-89BD-433C-8126-D09CA5730AF9}">
        <x15:connection id="Range" autoDelete="1">
          <x15:rangePr sourceName="_xlcn.WorksheetConnection_Project2Online_Course_SalesA1J3011"/>
        </x15:connection>
      </ext>
    </extLst>
  </connection>
  <connection id="7" xr16:uid="{78471D80-0E5F-4951-8742-9E7A3F206A14}" name="WorksheetConnection_Sales Analysis (Excel).xlsx!Table1" type="102" refreshedVersion="8" minRefreshableVersion="5">
    <extLst>
      <ext xmlns:x15="http://schemas.microsoft.com/office/spreadsheetml/2010/11/main" uri="{DE250136-89BD-433C-8126-D09CA5730AF9}">
        <x15:connection id="Table1" autoDelete="1">
          <x15:rangePr sourceName="_xlcn.WorksheetConnection_SalesAnalysisExcel.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roject_2_Online_Course_Sales].[Category].[All]}"/>
  </metadataStrings>
  <mdxMetadata count="1">
    <mdx n="0" f="s">
      <ms ns="1" c="0"/>
    </mdx>
  </mdxMetadata>
  <valueMetadata count="1">
    <bk>
      <rc t="1" v="0"/>
    </bk>
  </valueMetadata>
</metadata>
</file>

<file path=xl/sharedStrings.xml><?xml version="1.0" encoding="utf-8"?>
<sst xmlns="http://schemas.openxmlformats.org/spreadsheetml/2006/main" count="1578" uniqueCount="58">
  <si>
    <t>Order Date</t>
  </si>
  <si>
    <t>Course Name</t>
  </si>
  <si>
    <t>Category</t>
  </si>
  <si>
    <t>Instructor</t>
  </si>
  <si>
    <t>Country</t>
  </si>
  <si>
    <t>Price</t>
  </si>
  <si>
    <t>Quantity</t>
  </si>
  <si>
    <t>Total</t>
  </si>
  <si>
    <t>Payment Method</t>
  </si>
  <si>
    <t>Rating</t>
  </si>
  <si>
    <t>Python Basics</t>
  </si>
  <si>
    <t>Programming</t>
  </si>
  <si>
    <t>Carla</t>
  </si>
  <si>
    <t>Kenya</t>
  </si>
  <si>
    <t>Stripe</t>
  </si>
  <si>
    <t>Graphic Design</t>
  </si>
  <si>
    <t>Design</t>
  </si>
  <si>
    <t>Philippines</t>
  </si>
  <si>
    <t>Mpesa</t>
  </si>
  <si>
    <t>Data Visualization</t>
  </si>
  <si>
    <t>Analytics</t>
  </si>
  <si>
    <t>Alice</t>
  </si>
  <si>
    <t>UK</t>
  </si>
  <si>
    <t>Credit Card</t>
  </si>
  <si>
    <t>Public Speaking</t>
  </si>
  <si>
    <t>Communication</t>
  </si>
  <si>
    <t>Project Management</t>
  </si>
  <si>
    <t>Business</t>
  </si>
  <si>
    <t>Emma</t>
  </si>
  <si>
    <t>Brian</t>
  </si>
  <si>
    <t>Felix</t>
  </si>
  <si>
    <t>Nigeria</t>
  </si>
  <si>
    <t>PayPal</t>
  </si>
  <si>
    <t>Excel for Beginners</t>
  </si>
  <si>
    <t>Productivity</t>
  </si>
  <si>
    <t>David</t>
  </si>
  <si>
    <t>South Africa</t>
  </si>
  <si>
    <t>India</t>
  </si>
  <si>
    <t>Digital Marketing</t>
  </si>
  <si>
    <t>Marketing</t>
  </si>
  <si>
    <t>SQL Essentials</t>
  </si>
  <si>
    <t>USA</t>
  </si>
  <si>
    <t>Row Labels</t>
  </si>
  <si>
    <t>Grand Total</t>
  </si>
  <si>
    <t>Sum of Total</t>
  </si>
  <si>
    <t>Jan</t>
  </si>
  <si>
    <t>Feb</t>
  </si>
  <si>
    <t>Mar</t>
  </si>
  <si>
    <t>Apr</t>
  </si>
  <si>
    <t>May</t>
  </si>
  <si>
    <t>Jun</t>
  </si>
  <si>
    <t>Course</t>
  </si>
  <si>
    <t>Average of Rating</t>
  </si>
  <si>
    <t>All</t>
  </si>
  <si>
    <t>Total Quantity Sold</t>
  </si>
  <si>
    <t>Total Sales</t>
  </si>
  <si>
    <t>Average of Price</t>
  </si>
  <si>
    <t>Online Course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</si>
</sst>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8"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sz val="16"/>
      <color theme="1"/>
      <name val="Calibri"/>
      <family val="2"/>
      <scheme val="minor"/>
    </font>
    <font>
      <sz val="48"/>
      <color theme="1"/>
      <name val="Times New Roman"/>
      <family val="1"/>
    </font>
    <font>
      <sz val="11"/>
      <color theme="1"/>
      <name val="Times New Roman"/>
      <family val="1"/>
    </font>
    <font>
      <b/>
      <sz val="18"/>
      <color theme="1"/>
      <name val="Calibri"/>
      <family val="2"/>
      <scheme val="minor"/>
    </font>
  </fonts>
  <fills count="7">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2"/>
        <bgColor indexed="64"/>
      </patternFill>
    </fill>
    <fill>
      <patternFill patternType="solid">
        <fgColor theme="5" tint="-0.249977111117893"/>
        <bgColor indexed="64"/>
      </patternFill>
    </fill>
    <fill>
      <patternFill patternType="solid">
        <fgColor theme="0"/>
        <bgColor indexed="64"/>
      </patternFill>
    </fill>
  </fills>
  <borders count="4">
    <border>
      <left/>
      <right/>
      <top/>
      <bottom/>
      <diagonal/>
    </border>
    <border>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right/>
      <top/>
      <bottom style="medium">
        <color auto="1"/>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4" borderId="0" xfId="0" applyFill="1" applyAlignment="1">
      <alignment horizontal="center"/>
    </xf>
    <xf numFmtId="0" fontId="1" fillId="2" borderId="0" xfId="0" applyFont="1" applyFill="1"/>
    <xf numFmtId="0" fontId="2" fillId="0" borderId="1" xfId="0" applyFont="1" applyBorder="1"/>
    <xf numFmtId="0" fontId="2" fillId="3" borderId="1" xfId="0" applyFont="1" applyFill="1" applyBorder="1"/>
    <xf numFmtId="0" fontId="2" fillId="0" borderId="0" xfId="0" applyFont="1"/>
    <xf numFmtId="14" fontId="1" fillId="2" borderId="0" xfId="0" applyNumberFormat="1" applyFont="1" applyFill="1"/>
    <xf numFmtId="14" fontId="0" fillId="0" borderId="0" xfId="0" applyNumberFormat="1"/>
    <xf numFmtId="14" fontId="3" fillId="3" borderId="2" xfId="0" applyNumberFormat="1" applyFont="1" applyFill="1" applyBorder="1"/>
    <xf numFmtId="0" fontId="3" fillId="3" borderId="2" xfId="0" applyFont="1" applyFill="1" applyBorder="1"/>
    <xf numFmtId="14" fontId="3" fillId="0" borderId="2" xfId="0" applyNumberFormat="1" applyFont="1" applyBorder="1"/>
    <xf numFmtId="0" fontId="3" fillId="0" borderId="2" xfId="0" applyFont="1" applyBorder="1"/>
    <xf numFmtId="0" fontId="0" fillId="0" borderId="0" xfId="0" applyNumberFormat="1"/>
    <xf numFmtId="0" fontId="0" fillId="5" borderId="0" xfId="0" applyFill="1"/>
    <xf numFmtId="0" fontId="4" fillId="5" borderId="0" xfId="0" applyFont="1" applyFill="1"/>
    <xf numFmtId="0" fontId="0" fillId="5" borderId="0" xfId="0" applyFill="1" applyAlignment="1"/>
    <xf numFmtId="0" fontId="7" fillId="5" borderId="0" xfId="0" applyNumberFormat="1" applyFont="1" applyFill="1" applyAlignment="1">
      <alignment horizontal="center"/>
    </xf>
    <xf numFmtId="2" fontId="7" fillId="5" borderId="0" xfId="0" applyNumberFormat="1" applyFont="1" applyFill="1" applyAlignment="1">
      <alignment horizontal="center"/>
    </xf>
    <xf numFmtId="0" fontId="6" fillId="6" borderId="0" xfId="0" applyFont="1" applyFill="1" applyAlignment="1">
      <alignment vertical="center"/>
    </xf>
    <xf numFmtId="0" fontId="0" fillId="6" borderId="0" xfId="0" applyFill="1"/>
    <xf numFmtId="43" fontId="7" fillId="5" borderId="0" xfId="0" applyNumberFormat="1" applyFont="1" applyFill="1" applyAlignment="1">
      <alignment horizontal="center"/>
    </xf>
    <xf numFmtId="0" fontId="5" fillId="5" borderId="3" xfId="0" applyFont="1" applyFill="1" applyBorder="1" applyAlignment="1">
      <alignment horizontal="center" vertical="center"/>
    </xf>
    <xf numFmtId="0" fontId="0" fillId="5" borderId="3" xfId="0" applyFill="1" applyBorder="1" applyAlignment="1">
      <alignment horizontal="center" vertical="center"/>
    </xf>
    <xf numFmtId="0" fontId="0" fillId="0" borderId="3" xfId="0" applyBorder="1" applyAlignment="1">
      <alignment vertical="center"/>
    </xf>
  </cellXfs>
  <cellStyles count="1">
    <cellStyle name="Normal" xfId="0" builtinId="0"/>
  </cellStyles>
  <dxfs count="182">
    <dxf>
      <numFmt numFmtId="35" formatCode="_(* #,##0.00_);_(* \(#,##0.00\);_(* &quot;-&quot;??_);_(@_)"/>
    </dxf>
    <dxf>
      <font>
        <sz val="16"/>
      </font>
    </dxf>
    <dxf>
      <font>
        <b/>
        <sz val="14"/>
      </font>
      <alignment horizontal="center"/>
    </dxf>
    <dxf>
      <fill>
        <patternFill>
          <bgColor theme="5" tint="-0.249977111117893"/>
        </patternFill>
      </fill>
    </dxf>
    <dxf>
      <fill>
        <patternFill>
          <bgColor theme="5" tint="-0.249977111117893"/>
        </patternFill>
      </fill>
    </dxf>
    <dxf>
      <font>
        <sz val="18"/>
      </font>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0"/>
        </patternFill>
      </fill>
    </dxf>
    <dxf>
      <fill>
        <patternFill>
          <bgColor theme="0"/>
        </patternFill>
      </fill>
    </dxf>
    <dxf>
      <fill>
        <patternFill>
          <bgColor theme="0"/>
        </patternFill>
      </fill>
    </dxf>
    <dxf>
      <fill>
        <patternFill>
          <bgColor theme="5" tint="-0.249977111117893"/>
        </patternFill>
      </fill>
    </dxf>
    <dxf>
      <fill>
        <patternFill>
          <bgColor theme="0"/>
        </patternFill>
      </fill>
    </dxf>
    <dxf>
      <fill>
        <patternFill>
          <bgColor theme="5" tint="-0.249977111117893"/>
        </patternFill>
      </fill>
    </dxf>
    <dxf>
      <fill>
        <patternFill>
          <bgColor theme="0"/>
        </patternFill>
      </fill>
    </dxf>
    <dxf>
      <fill>
        <patternFill>
          <bgColor theme="5" tint="-0.249977111117893"/>
        </patternFill>
      </fill>
    </dxf>
    <dxf>
      <fill>
        <patternFill>
          <bgColor theme="0"/>
        </patternFill>
      </fill>
    </dxf>
    <dxf>
      <fill>
        <patternFill>
          <bgColor theme="5" tint="-0.249977111117893"/>
        </patternFill>
      </fill>
    </dxf>
    <dxf>
      <numFmt numFmtId="168" formatCode="0.000"/>
    </dxf>
    <dxf>
      <numFmt numFmtId="2" formatCode="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numFmt numFmtId="168" formatCode="0.000"/>
    </dxf>
    <dxf>
      <numFmt numFmtId="167" formatCode="0.0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numFmt numFmtId="167" formatCode="0.0000"/>
    </dxf>
    <dxf>
      <numFmt numFmtId="166" formatCode="0.00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numFmt numFmtId="166" formatCode="0.00000"/>
    </dxf>
    <dxf>
      <numFmt numFmtId="165" formatCode="0.000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numFmt numFmtId="165" formatCode="0.000000"/>
    </dxf>
    <dxf>
      <numFmt numFmtId="164" formatCode="0.0000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numFmt numFmtId="164" formatCode="0.0000000"/>
    </dxf>
    <dxf>
      <numFmt numFmtId="2" formatCode="0.00"/>
    </dxf>
    <dxf>
      <font>
        <sz val="16"/>
      </font>
    </dxf>
    <dxf>
      <font>
        <b/>
        <sz val="14"/>
      </font>
      <alignment horizontal="center"/>
    </dxf>
    <dxf>
      <numFmt numFmtId="2" formatCode="0.00"/>
    </dxf>
    <dxf>
      <fill>
        <patternFill>
          <bgColor theme="5" tint="-0.249977111117893"/>
        </patternFill>
      </fill>
    </dxf>
    <dxf>
      <fill>
        <patternFill>
          <bgColor theme="5" tint="-0.249977111117893"/>
        </patternFill>
      </fill>
    </dxf>
    <dxf>
      <fill>
        <patternFill>
          <bgColor theme="5" tint="-0.249977111117893"/>
        </patternFill>
      </fill>
    </dxf>
    <dxf>
      <font>
        <sz val="18"/>
      </font>
    </dxf>
    <dxf>
      <font>
        <sz val="18"/>
      </font>
    </dxf>
    <dxf>
      <font>
        <sz val="18"/>
      </font>
    </dxf>
    <dxf>
      <font>
        <sz val="16"/>
      </font>
    </dxf>
    <dxf>
      <font>
        <sz val="18"/>
      </font>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numFmt numFmtId="168" formatCode="0.000"/>
    </dxf>
    <dxf>
      <numFmt numFmtId="2" formatCode="0.00"/>
    </dxf>
    <dxf>
      <numFmt numFmtId="2" formatCode="0.00"/>
    </dxf>
    <dxf>
      <font>
        <sz val="16"/>
      </font>
    </dxf>
    <dxf>
      <font>
        <b/>
        <sz val="14"/>
      </font>
      <alignment horizontal="center"/>
    </dxf>
    <dxf>
      <numFmt numFmtId="168" formatCode="0.000"/>
    </dxf>
    <dxf>
      <numFmt numFmtId="167" formatCode="0.0000"/>
    </dxf>
    <dxf>
      <numFmt numFmtId="2" formatCode="0.00"/>
    </dxf>
    <dxf>
      <font>
        <sz val="16"/>
      </font>
    </dxf>
    <dxf>
      <font>
        <b/>
        <sz val="14"/>
      </font>
      <alignment horizontal="center"/>
    </dxf>
    <dxf>
      <numFmt numFmtId="167" formatCode="0.0000"/>
    </dxf>
    <dxf>
      <numFmt numFmtId="166" formatCode="0.00000"/>
    </dxf>
    <dxf>
      <numFmt numFmtId="2" formatCode="0.00"/>
    </dxf>
    <dxf>
      <font>
        <sz val="16"/>
      </font>
    </dxf>
    <dxf>
      <font>
        <b/>
        <sz val="14"/>
      </font>
      <alignment horizontal="center"/>
    </dxf>
    <dxf>
      <numFmt numFmtId="166" formatCode="0.00000"/>
    </dxf>
    <dxf>
      <numFmt numFmtId="165" formatCode="0.000000"/>
    </dxf>
    <dxf>
      <numFmt numFmtId="2" formatCode="0.00"/>
    </dxf>
    <dxf>
      <font>
        <sz val="16"/>
      </font>
    </dxf>
    <dxf>
      <font>
        <b/>
        <sz val="14"/>
      </font>
      <alignment horizontal="center"/>
    </dxf>
    <dxf>
      <numFmt numFmtId="165" formatCode="0.000000"/>
    </dxf>
    <dxf>
      <numFmt numFmtId="164" formatCode="0.0000000"/>
    </dxf>
    <dxf>
      <numFmt numFmtId="2" formatCode="0.00"/>
    </dxf>
    <dxf>
      <font>
        <sz val="16"/>
      </font>
    </dxf>
    <dxf>
      <font>
        <b/>
        <sz val="14"/>
      </font>
      <alignment horizontal="center"/>
    </dxf>
    <dxf>
      <numFmt numFmtId="164" formatCode="0.0000000"/>
    </dxf>
    <dxf>
      <numFmt numFmtId="2" formatCode="0.00"/>
    </dxf>
    <dxf>
      <font>
        <sz val="16"/>
      </font>
    </dxf>
    <dxf>
      <font>
        <b/>
        <sz val="14"/>
      </font>
      <alignment horizontal="center"/>
    </dxf>
    <dxf>
      <font>
        <b/>
        <sz val="14"/>
      </font>
      <alignment horizontal="center"/>
    </dxf>
    <dxf>
      <font>
        <sz val="16"/>
      </font>
    </dxf>
    <dxf>
      <font>
        <sz val="16"/>
      </font>
    </dxf>
    <dxf>
      <numFmt numFmtId="168" formatCode="0.000"/>
    </dxf>
    <dxf>
      <numFmt numFmtId="2" formatCode="0.00"/>
    </dxf>
    <dxf>
      <numFmt numFmtId="168" formatCode="0.000"/>
    </dxf>
    <dxf>
      <numFmt numFmtId="167" formatCode="0.0000"/>
    </dxf>
    <dxf>
      <numFmt numFmtId="167" formatCode="0.0000"/>
    </dxf>
    <dxf>
      <numFmt numFmtId="166" formatCode="0.00000"/>
    </dxf>
    <dxf>
      <numFmt numFmtId="166" formatCode="0.00000"/>
    </dxf>
    <dxf>
      <numFmt numFmtId="165" formatCode="0.000000"/>
    </dxf>
    <dxf>
      <numFmt numFmtId="165" formatCode="0.000000"/>
    </dxf>
    <dxf>
      <numFmt numFmtId="164" formatCode="0.0000000"/>
    </dxf>
    <dxf>
      <numFmt numFmtId="164" formatCode="0.0000000"/>
    </dxf>
    <dxf>
      <font>
        <sz val="16"/>
      </font>
    </dxf>
    <dxf>
      <font>
        <sz val="14"/>
      </font>
    </dxf>
    <dxf>
      <font>
        <b/>
      </font>
    </dxf>
    <dxf>
      <alignment horizontal="center"/>
    </dxf>
    <dxf>
      <font>
        <sz val="16"/>
      </font>
    </dxf>
    <dxf>
      <font>
        <b/>
        <sz val="14"/>
      </font>
      <alignment horizontal="center"/>
    </dxf>
    <dxf>
      <font>
        <sz val="16"/>
      </font>
    </dxf>
    <dxf>
      <font>
        <sz val="14"/>
      </font>
    </dxf>
    <dxf>
      <font>
        <b/>
      </font>
    </dxf>
    <dxf>
      <alignment horizontal="center"/>
    </dxf>
    <dxf>
      <font>
        <sz val="16"/>
      </font>
    </dxf>
    <dxf>
      <font>
        <b/>
        <sz val="14"/>
      </font>
      <alignment horizontal="center"/>
    </dxf>
    <dxf>
      <font>
        <b/>
        <sz val="14"/>
      </font>
      <alignment horizontal="center"/>
    </dxf>
    <dxf>
      <font>
        <sz val="16"/>
      </font>
    </dxf>
    <dxf>
      <alignment horizontal="center"/>
    </dxf>
    <dxf>
      <font>
        <b/>
      </font>
    </dxf>
    <dxf>
      <font>
        <sz val="14"/>
      </font>
    </dxf>
    <dxf>
      <font>
        <sz val="16"/>
      </font>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border diagonalUp="0" diagonalDown="0" outline="0">
        <left/>
        <right/>
        <top style="thin">
          <color theme="6" tint="0.39997558519241921"/>
        </top>
        <bottom/>
      </border>
    </dxf>
    <dxf>
      <font>
        <strike val="0"/>
        <outline val="0"/>
        <shadow val="0"/>
        <u val="none"/>
        <vertAlign val="baseline"/>
        <sz val="12"/>
        <color theme="1"/>
        <name val="Calibri"/>
        <family val="2"/>
        <scheme val="minor"/>
      </font>
      <numFmt numFmtId="19" formatCode="m/d/yyyy"/>
      <border diagonalUp="0" diagonalDown="0" outline="0">
        <left/>
        <right/>
        <top style="thin">
          <color theme="6" tint="0.39997558519241921"/>
        </top>
        <bottom/>
      </border>
    </dxf>
    <dxf>
      <border outline="0">
        <left style="thin">
          <color theme="6" tint="0.39997558519241921"/>
        </left>
        <right style="thin">
          <color theme="6" tint="0.39997558519241921"/>
        </right>
        <top style="thin">
          <color theme="6" tint="0.39997558519241921"/>
        </top>
        <bottom style="thin">
          <color theme="6" tint="0.39997558519241921"/>
        </bottom>
      </border>
    </dxf>
    <dxf>
      <font>
        <strike val="0"/>
        <outline val="0"/>
        <shadow val="0"/>
        <u val="none"/>
        <vertAlign val="baseline"/>
        <sz val="12"/>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6"/>
          <bgColor theme="6"/>
        </patternFill>
      </fill>
    </dxf>
  </dxfs>
  <tableStyles count="1" defaultTableStyle="TableStyleMedium2" defaultPivotStyle="PivotStyleLight16">
    <tableStyle name="Invisible" pivot="0" table="0" count="0" xr9:uid="{CB162039-60DC-4E08-872D-138F9FC30BE8}"/>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Analysis (Excel).xlsx]Pivot tables!PivotTable1</c:name>
    <c:fmtId val="14"/>
  </c:pivotSource>
  <c:chart>
    <c:title>
      <c:tx>
        <c:rich>
          <a:bodyPr rot="0" spcFirstLastPara="1" vertOverflow="ellipsis" vert="horz" wrap="square" anchor="ctr" anchorCtr="1"/>
          <a:lstStyle/>
          <a:p>
            <a:pPr algn="ctr" rtl="0">
              <a:defRPr lang="en-US" sz="1800" b="1" i="0" u="none" strike="noStrike" kern="1200" baseline="0">
                <a:solidFill>
                  <a:schemeClr val="tx1">
                    <a:lumMod val="95000"/>
                    <a:lumOff val="5000"/>
                  </a:schemeClr>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Sales by Country</a:t>
            </a:r>
          </a:p>
        </c:rich>
      </c:tx>
      <c:layout>
        <c:manualLayout>
          <c:xMode val="edge"/>
          <c:yMode val="edge"/>
          <c:x val="0.34772922134733164"/>
          <c:y val="5.9164479440069993E-2"/>
        </c:manualLayout>
      </c:layout>
      <c:overlay val="0"/>
      <c:spPr>
        <a:solidFill>
          <a:schemeClr val="bg2">
            <a:lumMod val="75000"/>
          </a:schemeClr>
        </a:solidFill>
        <a:ln w="12700" cap="flat" cmpd="sng" algn="ctr">
          <a:solidFill>
            <a:schemeClr val="accent5"/>
          </a:solidFill>
          <a:prstDash val="solid"/>
          <a:miter lim="800000"/>
        </a:ln>
        <a:effectLst/>
      </c:spPr>
      <c:txPr>
        <a:bodyPr rot="0" spcFirstLastPara="1" vertOverflow="ellipsis" vert="horz" wrap="square" anchor="ctr" anchorCtr="1"/>
        <a:lstStyle/>
        <a:p>
          <a:pPr algn="ctr" rtl="0">
            <a:defRPr lang="en-US"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3399"/>
          </a:solidFill>
          <a:ln w="9525" cap="flat" cmpd="sng" algn="ctr">
            <a:solidFill>
              <a:schemeClr val="lt1">
                <a:alpha val="50000"/>
              </a:schemeClr>
            </a:solidFill>
            <a:round/>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3399"/>
          </a:solidFill>
          <a:ln w="9525" cap="flat" cmpd="sng" algn="ctr">
            <a:solidFill>
              <a:schemeClr val="lt1">
                <a:alpha val="50000"/>
              </a:schemeClr>
            </a:solidFill>
            <a:round/>
          </a:ln>
          <a:effectLst/>
        </c:spPr>
      </c:pivotFmt>
    </c:pivotFmts>
    <c:plotArea>
      <c:layout>
        <c:manualLayout>
          <c:layoutTarget val="inner"/>
          <c:xMode val="edge"/>
          <c:yMode val="edge"/>
          <c:x val="0.19564798666720204"/>
          <c:y val="0.18547378390066832"/>
          <c:w val="0.74769305313819068"/>
          <c:h val="0.76592086269109438"/>
        </c:manualLayout>
      </c:layout>
      <c:barChart>
        <c:barDir val="bar"/>
        <c:grouping val="clustered"/>
        <c:varyColors val="0"/>
        <c:ser>
          <c:idx val="0"/>
          <c:order val="0"/>
          <c:tx>
            <c:strRef>
              <c:f>'Pivot tables'!$B$3</c:f>
              <c:strCache>
                <c:ptCount val="1"/>
                <c:pt idx="0">
                  <c:v>Total</c:v>
                </c:pt>
              </c:strCache>
            </c:strRef>
          </c:tx>
          <c:spPr>
            <a:solidFill>
              <a:srgbClr val="CC3399"/>
            </a:solidFill>
            <a:ln w="9525" cap="flat" cmpd="sng" algn="ctr">
              <a:solidFill>
                <a:schemeClr val="lt1">
                  <a:alpha val="50000"/>
                </a:schemeClr>
              </a:solidFill>
              <a:round/>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tables'!$A$4:$A$11</c:f>
              <c:strCache>
                <c:ptCount val="7"/>
                <c:pt idx="0">
                  <c:v>USA</c:v>
                </c:pt>
                <c:pt idx="1">
                  <c:v>Philippines</c:v>
                </c:pt>
                <c:pt idx="2">
                  <c:v>Kenya</c:v>
                </c:pt>
                <c:pt idx="3">
                  <c:v>UK</c:v>
                </c:pt>
                <c:pt idx="4">
                  <c:v>South Africa</c:v>
                </c:pt>
                <c:pt idx="5">
                  <c:v>Nigeria</c:v>
                </c:pt>
                <c:pt idx="6">
                  <c:v>India</c:v>
                </c:pt>
              </c:strCache>
            </c:strRef>
          </c:cat>
          <c:val>
            <c:numRef>
              <c:f>'Pivot tables'!$B$4:$B$11</c:f>
              <c:numCache>
                <c:formatCode>General</c:formatCode>
                <c:ptCount val="7"/>
                <c:pt idx="0">
                  <c:v>496.81</c:v>
                </c:pt>
                <c:pt idx="1">
                  <c:v>777.51</c:v>
                </c:pt>
                <c:pt idx="2">
                  <c:v>1012.88</c:v>
                </c:pt>
                <c:pt idx="3">
                  <c:v>1045.19</c:v>
                </c:pt>
                <c:pt idx="4">
                  <c:v>1074.04</c:v>
                </c:pt>
                <c:pt idx="5">
                  <c:v>1081.81</c:v>
                </c:pt>
                <c:pt idx="6">
                  <c:v>1259.6099999999999</c:v>
                </c:pt>
              </c:numCache>
            </c:numRef>
          </c:val>
          <c:extLst>
            <c:ext xmlns:c16="http://schemas.microsoft.com/office/drawing/2014/chart" uri="{C3380CC4-5D6E-409C-BE32-E72D297353CC}">
              <c16:uniqueId val="{00000000-6605-4126-A8FA-A576418D3943}"/>
            </c:ext>
          </c:extLst>
        </c:ser>
        <c:dLbls>
          <c:dLblPos val="outEnd"/>
          <c:showLegendKey val="0"/>
          <c:showVal val="1"/>
          <c:showCatName val="0"/>
          <c:showSerName val="0"/>
          <c:showPercent val="0"/>
          <c:showBubbleSize val="0"/>
        </c:dLbls>
        <c:gapWidth val="65"/>
        <c:axId val="598259520"/>
        <c:axId val="598248360"/>
      </c:barChart>
      <c:catAx>
        <c:axId val="598259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crossAx val="598248360"/>
        <c:crosses val="autoZero"/>
        <c:auto val="1"/>
        <c:lblAlgn val="ctr"/>
        <c:lblOffset val="100"/>
        <c:noMultiLvlLbl val="0"/>
      </c:catAx>
      <c:valAx>
        <c:axId val="598248360"/>
        <c:scaling>
          <c:orientation val="minMax"/>
        </c:scaling>
        <c:delete val="1"/>
        <c:axPos val="b"/>
        <c:numFmt formatCode="General" sourceLinked="1"/>
        <c:majorTickMark val="none"/>
        <c:minorTickMark val="none"/>
        <c:tickLblPos val="nextTo"/>
        <c:crossAx val="5982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Analysis (Excel).xlsx]Pivot tables!PivotTable2</c:name>
    <c:fmtId val="4"/>
  </c:pivotSource>
  <c:chart>
    <c:title>
      <c:tx>
        <c:rich>
          <a:bodyPr rot="0" spcFirstLastPara="1" vertOverflow="ellipsis" vert="horz" wrap="square" anchor="ctr" anchorCtr="1"/>
          <a:lstStyle/>
          <a:p>
            <a:pPr algn="ctr" rtl="0">
              <a:defRPr lang="en-US" sz="1080" b="0" i="0" u="none" strike="noStrike" kern="1200" cap="all" baseline="0">
                <a:solidFill>
                  <a:schemeClr val="tx1">
                    <a:lumMod val="95000"/>
                    <a:lumOff val="5000"/>
                  </a:schemeClr>
                </a:solidFill>
                <a:latin typeface="+mn-lt"/>
                <a:ea typeface="+mn-ea"/>
                <a:cs typeface="Times New Roman" panose="02020603050405020304" pitchFamily="18" charset="0"/>
              </a:defRPr>
            </a:pPr>
            <a:r>
              <a:rPr lang="en-US"/>
              <a:t>Sales by Course</a:t>
            </a:r>
          </a:p>
        </c:rich>
      </c:tx>
      <c:layout>
        <c:manualLayout>
          <c:xMode val="edge"/>
          <c:yMode val="edge"/>
          <c:x val="0.33575007669495865"/>
          <c:y val="2.6757072032662588E-2"/>
        </c:manualLayout>
      </c:layout>
      <c:overlay val="0"/>
      <c:spPr>
        <a:solidFill>
          <a:schemeClr val="bg2">
            <a:lumMod val="75000"/>
          </a:schemeClr>
        </a:solidFill>
        <a:ln w="12700" cap="flat" cmpd="sng" algn="ctr">
          <a:solidFill>
            <a:schemeClr val="accent5"/>
          </a:solidFill>
          <a:prstDash val="solid"/>
          <a:miter lim="800000"/>
        </a:ln>
        <a:effectLst/>
      </c:spPr>
      <c:txPr>
        <a:bodyPr rot="0" spcFirstLastPara="1" vertOverflow="ellipsis" vert="horz" wrap="square" anchor="ctr" anchorCtr="1"/>
        <a:lstStyle/>
        <a:p>
          <a:pPr algn="ctr" rtl="0">
            <a:defRPr lang="en-US" sz="108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3399"/>
          </a:solidFill>
          <a:ln w="9525" cap="flat" cmpd="sng" algn="ctr">
            <a:solidFill>
              <a:schemeClr val="lt1">
                <a:alpha val="50000"/>
              </a:schemeClr>
            </a:solidFill>
            <a:round/>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90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33295838020247"/>
          <c:y val="0.15036806195114991"/>
          <c:w val="0.64670801864052707"/>
          <c:h val="0.82185403907844834"/>
        </c:manualLayout>
      </c:layout>
      <c:barChart>
        <c:barDir val="bar"/>
        <c:grouping val="clustered"/>
        <c:varyColors val="0"/>
        <c:ser>
          <c:idx val="0"/>
          <c:order val="0"/>
          <c:tx>
            <c:strRef>
              <c:f>'Pivot tables'!$B$18</c:f>
              <c:strCache>
                <c:ptCount val="1"/>
                <c:pt idx="0">
                  <c:v>Total</c:v>
                </c:pt>
              </c:strCache>
            </c:strRef>
          </c:tx>
          <c:spPr>
            <a:solidFill>
              <a:srgbClr val="CC3399"/>
            </a:solidFill>
            <a:ln w="9525" cap="flat" cmpd="sng" algn="ctr">
              <a:solidFill>
                <a:schemeClr val="lt1">
                  <a:alpha val="50000"/>
                </a:schemeClr>
              </a:solidFill>
              <a:round/>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lang="en-US" sz="90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tables'!$A$19:$A$27</c:f>
              <c:strCache>
                <c:ptCount val="8"/>
                <c:pt idx="0">
                  <c:v>Excel for Beginners</c:v>
                </c:pt>
                <c:pt idx="1">
                  <c:v>Digital Marketing</c:v>
                </c:pt>
                <c:pt idx="2">
                  <c:v>Data Visualization</c:v>
                </c:pt>
                <c:pt idx="3">
                  <c:v>Graphic Design</c:v>
                </c:pt>
                <c:pt idx="4">
                  <c:v>Python Basics</c:v>
                </c:pt>
                <c:pt idx="5">
                  <c:v>SQL Essentials</c:v>
                </c:pt>
                <c:pt idx="6">
                  <c:v>Project Management</c:v>
                </c:pt>
                <c:pt idx="7">
                  <c:v>Public Speaking</c:v>
                </c:pt>
              </c:strCache>
            </c:strRef>
          </c:cat>
          <c:val>
            <c:numRef>
              <c:f>'Pivot tables'!$B$19:$B$27</c:f>
              <c:numCache>
                <c:formatCode>General</c:formatCode>
                <c:ptCount val="8"/>
                <c:pt idx="0">
                  <c:v>154.94999999999999</c:v>
                </c:pt>
                <c:pt idx="1">
                  <c:v>351.35</c:v>
                </c:pt>
                <c:pt idx="2">
                  <c:v>578.16999999999996</c:v>
                </c:pt>
                <c:pt idx="3">
                  <c:v>867.31</c:v>
                </c:pt>
                <c:pt idx="4">
                  <c:v>906.67</c:v>
                </c:pt>
                <c:pt idx="5">
                  <c:v>951.59</c:v>
                </c:pt>
                <c:pt idx="6">
                  <c:v>1337.58</c:v>
                </c:pt>
                <c:pt idx="7">
                  <c:v>1600.23</c:v>
                </c:pt>
              </c:numCache>
            </c:numRef>
          </c:val>
          <c:extLst>
            <c:ext xmlns:c16="http://schemas.microsoft.com/office/drawing/2014/chart" uri="{C3380CC4-5D6E-409C-BE32-E72D297353CC}">
              <c16:uniqueId val="{00000000-40E4-4064-BB44-7F8BBABEB3A1}"/>
            </c:ext>
          </c:extLst>
        </c:ser>
        <c:dLbls>
          <c:dLblPos val="inEnd"/>
          <c:showLegendKey val="0"/>
          <c:showVal val="1"/>
          <c:showCatName val="0"/>
          <c:showSerName val="0"/>
          <c:showPercent val="0"/>
          <c:showBubbleSize val="0"/>
        </c:dLbls>
        <c:gapWidth val="65"/>
        <c:axId val="1304881560"/>
        <c:axId val="1304877240"/>
      </c:barChart>
      <c:catAx>
        <c:axId val="1304881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crossAx val="1304877240"/>
        <c:crosses val="autoZero"/>
        <c:auto val="1"/>
        <c:lblAlgn val="ctr"/>
        <c:lblOffset val="100"/>
        <c:noMultiLvlLbl val="0"/>
      </c:catAx>
      <c:valAx>
        <c:axId val="1304877240"/>
        <c:scaling>
          <c:orientation val="minMax"/>
        </c:scaling>
        <c:delete val="1"/>
        <c:axPos val="b"/>
        <c:numFmt formatCode="General" sourceLinked="1"/>
        <c:majorTickMark val="none"/>
        <c:minorTickMark val="none"/>
        <c:tickLblPos val="nextTo"/>
        <c:crossAx val="1304881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lgn="ctr">
        <a:defRPr lang="en-US" sz="900" b="0" i="0" u="none" strike="noStrike" kern="1200" cap="all" baseline="0">
          <a:solidFill>
            <a:schemeClr val="tx1">
              <a:lumMod val="95000"/>
              <a:lumOff val="5000"/>
            </a:schemeClr>
          </a:solidFill>
          <a:latin typeface="+mn-lt"/>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(Excel).xlsx]Pivot tables!PivotTable3</c:name>
    <c:fmtId val="3"/>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Sales Trend</a:t>
            </a:r>
          </a:p>
        </c:rich>
      </c:tx>
      <c:layout>
        <c:manualLayout>
          <c:xMode val="edge"/>
          <c:yMode val="edge"/>
          <c:x val="0.35889102444871557"/>
          <c:y val="4.9905220180810735E-2"/>
        </c:manualLayout>
      </c:layout>
      <c:overlay val="0"/>
      <c:spPr>
        <a:solidFill>
          <a:schemeClr val="bg2">
            <a:lumMod val="75000"/>
          </a:schemeClr>
        </a:solid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7154194308388"/>
          <c:y val="0.23370151647710707"/>
          <c:w val="0.80703370740074809"/>
          <c:h val="0.53027486147564884"/>
        </c:manualLayout>
      </c:layout>
      <c:lineChart>
        <c:grouping val="standard"/>
        <c:varyColors val="0"/>
        <c:ser>
          <c:idx val="0"/>
          <c:order val="0"/>
          <c:tx>
            <c:strRef>
              <c:f>'Pivot tables'!$F$3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tables'!$E$4:$E$10</c:f>
              <c:strCache>
                <c:ptCount val="6"/>
                <c:pt idx="0">
                  <c:v>Jan</c:v>
                </c:pt>
                <c:pt idx="1">
                  <c:v>Feb</c:v>
                </c:pt>
                <c:pt idx="2">
                  <c:v>Mar</c:v>
                </c:pt>
                <c:pt idx="3">
                  <c:v>Apr</c:v>
                </c:pt>
                <c:pt idx="4">
                  <c:v>May</c:v>
                </c:pt>
                <c:pt idx="5">
                  <c:v>Jun</c:v>
                </c:pt>
              </c:strCache>
            </c:strRef>
          </c:cat>
          <c:val>
            <c:numRef>
              <c:f>'Pivot tables'!$F$4:$F$10</c:f>
              <c:numCache>
                <c:formatCode>General</c:formatCode>
                <c:ptCount val="6"/>
                <c:pt idx="0">
                  <c:v>1191.5999999999999</c:v>
                </c:pt>
                <c:pt idx="1">
                  <c:v>853.56</c:v>
                </c:pt>
                <c:pt idx="2">
                  <c:v>1566.66</c:v>
                </c:pt>
                <c:pt idx="3">
                  <c:v>1683.54</c:v>
                </c:pt>
                <c:pt idx="4">
                  <c:v>711.83</c:v>
                </c:pt>
                <c:pt idx="5">
                  <c:v>740.66</c:v>
                </c:pt>
              </c:numCache>
            </c:numRef>
          </c:val>
          <c:smooth val="0"/>
          <c:extLst>
            <c:ext xmlns:c16="http://schemas.microsoft.com/office/drawing/2014/chart" uri="{C3380CC4-5D6E-409C-BE32-E72D297353CC}">
              <c16:uniqueId val="{00000000-F0B7-4C10-B51D-308E2B1A3313}"/>
            </c:ext>
          </c:extLst>
        </c:ser>
        <c:dLbls>
          <c:dLblPos val="t"/>
          <c:showLegendKey val="0"/>
          <c:showVal val="1"/>
          <c:showCatName val="0"/>
          <c:showSerName val="0"/>
          <c:showPercent val="0"/>
          <c:showBubbleSize val="0"/>
        </c:dLbls>
        <c:marker val="1"/>
        <c:smooth val="0"/>
        <c:axId val="1304899560"/>
        <c:axId val="1304899920"/>
      </c:lineChart>
      <c:catAx>
        <c:axId val="1304899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4899920"/>
        <c:crosses val="autoZero"/>
        <c:auto val="1"/>
        <c:lblAlgn val="ctr"/>
        <c:lblOffset val="100"/>
        <c:noMultiLvlLbl val="0"/>
      </c:catAx>
      <c:valAx>
        <c:axId val="1304899920"/>
        <c:scaling>
          <c:orientation val="minMax"/>
        </c:scaling>
        <c:delete val="1"/>
        <c:axPos val="l"/>
        <c:numFmt formatCode="General" sourceLinked="1"/>
        <c:majorTickMark val="none"/>
        <c:minorTickMark val="none"/>
        <c:tickLblPos val="nextTo"/>
        <c:crossAx val="1304899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(Excel).xlsx]Pivot tables!PivotTable5</c:name>
    <c:fmtId val="5"/>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Times New Roman" panose="02020603050405020304" pitchFamily="18" charset="0"/>
              </a:defRPr>
            </a:pPr>
            <a:r>
              <a:rPr lang="en-US" b="1" u="none">
                <a:solidFill>
                  <a:schemeClr val="tx1">
                    <a:lumMod val="95000"/>
                    <a:lumOff val="5000"/>
                  </a:schemeClr>
                </a:solidFill>
                <a:latin typeface="+mn-lt"/>
                <a:cs typeface="Times New Roman" panose="02020603050405020304" pitchFamily="18" charset="0"/>
              </a:rPr>
              <a:t>Course</a:t>
            </a:r>
            <a:r>
              <a:rPr lang="en-US" b="1" u="none" baseline="0">
                <a:solidFill>
                  <a:schemeClr val="tx1">
                    <a:lumMod val="95000"/>
                    <a:lumOff val="5000"/>
                  </a:schemeClr>
                </a:solidFill>
                <a:latin typeface="+mn-lt"/>
                <a:cs typeface="Times New Roman" panose="02020603050405020304" pitchFamily="18" charset="0"/>
              </a:rPr>
              <a:t> Rating</a:t>
            </a:r>
          </a:p>
        </c:rich>
      </c:tx>
      <c:layout>
        <c:manualLayout>
          <c:xMode val="edge"/>
          <c:yMode val="edge"/>
          <c:x val="0.32252760071657705"/>
          <c:y val="1.3536376613973094E-2"/>
        </c:manualLayout>
      </c:layout>
      <c:overlay val="0"/>
      <c:spPr>
        <a:solidFill>
          <a:schemeClr val="bg2">
            <a:lumMod val="75000"/>
          </a:schemeClr>
        </a:solid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8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0" sourceLinked="0"/>
          <c:spPr>
            <a:solidFill>
              <a:schemeClr val="bg1">
                <a:lumMod val="8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5935596983186"/>
          <c:y val="0.13828484981044037"/>
          <c:w val="0.7040405423630347"/>
          <c:h val="0.51912255759696702"/>
        </c:manualLayout>
      </c:layout>
      <c:barChart>
        <c:barDir val="col"/>
        <c:grouping val="clustered"/>
        <c:varyColors val="0"/>
        <c:ser>
          <c:idx val="0"/>
          <c:order val="0"/>
          <c:tx>
            <c:strRef>
              <c:f>'Pivot tables'!$I$3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numFmt formatCode="#,##0.00" sourceLinked="0"/>
            <c:spPr>
              <a:solidFill>
                <a:schemeClr val="bg1">
                  <a:lumMod val="8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tables'!$H$4:$H$12</c:f>
              <c:strCache>
                <c:ptCount val="8"/>
                <c:pt idx="0">
                  <c:v>SQL Essentials</c:v>
                </c:pt>
                <c:pt idx="1">
                  <c:v>Data Visualization</c:v>
                </c:pt>
                <c:pt idx="2">
                  <c:v>Python Basics</c:v>
                </c:pt>
                <c:pt idx="3">
                  <c:v>Public Speaking</c:v>
                </c:pt>
                <c:pt idx="4">
                  <c:v>Excel for Beginners</c:v>
                </c:pt>
                <c:pt idx="5">
                  <c:v>Project Management</c:v>
                </c:pt>
                <c:pt idx="6">
                  <c:v>Digital Marketing</c:v>
                </c:pt>
                <c:pt idx="7">
                  <c:v>Graphic Design</c:v>
                </c:pt>
              </c:strCache>
            </c:strRef>
          </c:cat>
          <c:val>
            <c:numRef>
              <c:f>'Pivot tables'!$I$4:$I$12</c:f>
              <c:numCache>
                <c:formatCode>General</c:formatCode>
                <c:ptCount val="8"/>
                <c:pt idx="0">
                  <c:v>4.4375</c:v>
                </c:pt>
                <c:pt idx="1">
                  <c:v>4.2799999999999994</c:v>
                </c:pt>
                <c:pt idx="2">
                  <c:v>4.2200000000000006</c:v>
                </c:pt>
                <c:pt idx="3">
                  <c:v>4.2166666666666668</c:v>
                </c:pt>
                <c:pt idx="4">
                  <c:v>4.2</c:v>
                </c:pt>
                <c:pt idx="5">
                  <c:v>4.1727272727272728</c:v>
                </c:pt>
                <c:pt idx="6">
                  <c:v>4.0666666666666664</c:v>
                </c:pt>
                <c:pt idx="7">
                  <c:v>3.9624999999999999</c:v>
                </c:pt>
              </c:numCache>
            </c:numRef>
          </c:val>
          <c:extLst>
            <c:ext xmlns:c16="http://schemas.microsoft.com/office/drawing/2014/chart" uri="{C3380CC4-5D6E-409C-BE32-E72D297353CC}">
              <c16:uniqueId val="{00000000-59EB-46B6-98F6-1C12DECB974A}"/>
            </c:ext>
          </c:extLst>
        </c:ser>
        <c:dLbls>
          <c:dLblPos val="outEnd"/>
          <c:showLegendKey val="0"/>
          <c:showVal val="1"/>
          <c:showCatName val="0"/>
          <c:showSerName val="0"/>
          <c:showPercent val="0"/>
          <c:showBubbleSize val="0"/>
        </c:dLbls>
        <c:gapWidth val="150"/>
        <c:axId val="664859160"/>
        <c:axId val="664867080"/>
      </c:barChart>
      <c:catAx>
        <c:axId val="66485916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664867080"/>
        <c:crosses val="autoZero"/>
        <c:auto val="1"/>
        <c:lblAlgn val="ctr"/>
        <c:lblOffset val="100"/>
        <c:noMultiLvlLbl val="0"/>
      </c:catAx>
      <c:valAx>
        <c:axId val="664867080"/>
        <c:scaling>
          <c:orientation val="minMax"/>
        </c:scaling>
        <c:delete val="1"/>
        <c:axPos val="l"/>
        <c:numFmt formatCode="General" sourceLinked="1"/>
        <c:majorTickMark val="out"/>
        <c:minorTickMark val="none"/>
        <c:tickLblPos val="nextTo"/>
        <c:crossAx val="664859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130968</xdr:colOff>
      <xdr:row>5</xdr:row>
      <xdr:rowOff>130968</xdr:rowOff>
    </xdr:from>
    <xdr:to>
      <xdr:col>10</xdr:col>
      <xdr:colOff>1035843</xdr:colOff>
      <xdr:row>20</xdr:row>
      <xdr:rowOff>147637</xdr:rowOff>
    </xdr:to>
    <xdr:graphicFrame macro="">
      <xdr:nvGraphicFramePr>
        <xdr:cNvPr id="10" name="Chart 9">
          <a:extLst>
            <a:ext uri="{FF2B5EF4-FFF2-40B4-BE49-F238E27FC236}">
              <a16:creationId xmlns:a16="http://schemas.microsoft.com/office/drawing/2014/main" id="{5B95F322-0917-4C0A-B26F-9A36E3D07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130968</xdr:colOff>
      <xdr:row>21</xdr:row>
      <xdr:rowOff>166686</xdr:rowOff>
    </xdr:from>
    <xdr:to>
      <xdr:col>10</xdr:col>
      <xdr:colOff>1047749</xdr:colOff>
      <xdr:row>38</xdr:row>
      <xdr:rowOff>11906</xdr:rowOff>
    </xdr:to>
    <xdr:graphicFrame macro="">
      <xdr:nvGraphicFramePr>
        <xdr:cNvPr id="16" name="Chart 15">
          <a:extLst>
            <a:ext uri="{FF2B5EF4-FFF2-40B4-BE49-F238E27FC236}">
              <a16:creationId xmlns:a16="http://schemas.microsoft.com/office/drawing/2014/main" id="{2E9EFD11-96E9-424B-9846-7583BEAE0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107156</xdr:colOff>
      <xdr:row>1</xdr:row>
      <xdr:rowOff>145256</xdr:rowOff>
    </xdr:from>
    <xdr:to>
      <xdr:col>9</xdr:col>
      <xdr:colOff>135731</xdr:colOff>
      <xdr:row>4</xdr:row>
      <xdr:rowOff>119062</xdr:rowOff>
    </xdr:to>
    <mc:AlternateContent xmlns:mc="http://schemas.openxmlformats.org/markup-compatibility/2006">
      <mc:Choice xmlns:a14="http://schemas.microsoft.com/office/drawing/2010/main" Requires="a14">
        <xdr:graphicFrame macro="">
          <xdr:nvGraphicFramePr>
            <xdr:cNvPr id="20" name="Instructor 2">
              <a:extLst>
                <a:ext uri="{FF2B5EF4-FFF2-40B4-BE49-F238E27FC236}">
                  <a16:creationId xmlns:a16="http://schemas.microsoft.com/office/drawing/2014/main" id="{8D0B7E8C-2359-AB81-2A91-16BE085D76D9}"/>
                </a:ext>
              </a:extLst>
            </xdr:cNvPr>
            <xdr:cNvGraphicFramePr/>
          </xdr:nvGraphicFramePr>
          <xdr:xfrm>
            <a:off x="0" y="0"/>
            <a:ext cx="0" cy="0"/>
          </xdr:xfrm>
          <a:graphic>
            <a:graphicData uri="http://schemas.microsoft.com/office/drawing/2010/slicer">
              <sle:slicer xmlns:sle="http://schemas.microsoft.com/office/drawing/2010/slicer" name="Instructor 2"/>
            </a:graphicData>
          </a:graphic>
        </xdr:graphicFrame>
      </mc:Choice>
      <mc:Fallback>
        <xdr:sp macro="" textlink="">
          <xdr:nvSpPr>
            <xdr:cNvPr id="0" name=""/>
            <xdr:cNvSpPr>
              <a:spLocks noTextEdit="1"/>
            </xdr:cNvSpPr>
          </xdr:nvSpPr>
          <xdr:spPr>
            <a:xfrm>
              <a:off x="107156" y="823912"/>
              <a:ext cx="5493544"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1297781</xdr:colOff>
      <xdr:row>5</xdr:row>
      <xdr:rowOff>130968</xdr:rowOff>
    </xdr:from>
    <xdr:to>
      <xdr:col>16</xdr:col>
      <xdr:colOff>142875</xdr:colOff>
      <xdr:row>20</xdr:row>
      <xdr:rowOff>169068</xdr:rowOff>
    </xdr:to>
    <xdr:graphicFrame macro="">
      <xdr:nvGraphicFramePr>
        <xdr:cNvPr id="22" name="Chart 21">
          <a:extLst>
            <a:ext uri="{FF2B5EF4-FFF2-40B4-BE49-F238E27FC236}">
              <a16:creationId xmlns:a16="http://schemas.microsoft.com/office/drawing/2014/main" id="{E6717D56-4F96-4CED-81EE-196B01004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1309687</xdr:colOff>
      <xdr:row>21</xdr:row>
      <xdr:rowOff>142875</xdr:rowOff>
    </xdr:from>
    <xdr:to>
      <xdr:col>16</xdr:col>
      <xdr:colOff>142875</xdr:colOff>
      <xdr:row>38</xdr:row>
      <xdr:rowOff>11906</xdr:rowOff>
    </xdr:to>
    <xdr:graphicFrame macro="">
      <xdr:nvGraphicFramePr>
        <xdr:cNvPr id="2" name="Chart 1">
          <a:extLst>
            <a:ext uri="{FF2B5EF4-FFF2-40B4-BE49-F238E27FC236}">
              <a16:creationId xmlns:a16="http://schemas.microsoft.com/office/drawing/2014/main" id="{5DDB9EE4-B3EC-4851-A11A-E00683161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21</xdr:row>
      <xdr:rowOff>180975</xdr:rowOff>
    </xdr:from>
    <xdr:to>
      <xdr:col>2</xdr:col>
      <xdr:colOff>571498</xdr:colOff>
      <xdr:row>35</xdr:row>
      <xdr:rowOff>38100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3EFF735-C8CB-8439-63F7-3A0B2B5360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4848225"/>
              <a:ext cx="178593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157162</xdr:rowOff>
    </xdr:from>
    <xdr:to>
      <xdr:col>2</xdr:col>
      <xdr:colOff>595312</xdr:colOff>
      <xdr:row>20</xdr:row>
      <xdr:rowOff>95250</xdr:rowOff>
    </xdr:to>
    <mc:AlternateContent xmlns:mc="http://schemas.openxmlformats.org/markup-compatibility/2006">
      <mc:Choice xmlns:a14="http://schemas.microsoft.com/office/drawing/2010/main" Requires="a14">
        <xdr:graphicFrame macro="">
          <xdr:nvGraphicFramePr>
            <xdr:cNvPr id="5" name="Payment Method 1">
              <a:extLst>
                <a:ext uri="{FF2B5EF4-FFF2-40B4-BE49-F238E27FC236}">
                  <a16:creationId xmlns:a16="http://schemas.microsoft.com/office/drawing/2014/main" id="{1826B227-8857-D41A-146D-CEE58A79FE5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0" y="2919412"/>
              <a:ext cx="1809750" cy="165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178594</xdr:colOff>
      <xdr:row>6</xdr:row>
      <xdr:rowOff>0</xdr:rowOff>
    </xdr:from>
    <xdr:to>
      <xdr:col>3</xdr:col>
      <xdr:colOff>59531</xdr:colOff>
      <xdr:row>11</xdr:row>
      <xdr:rowOff>92870</xdr:rowOff>
    </xdr:to>
    <xdr:pic>
      <xdr:nvPicPr>
        <xdr:cNvPr id="7" name="Graphic 6" descr="Books">
          <a:extLst>
            <a:ext uri="{FF2B5EF4-FFF2-40B4-BE49-F238E27FC236}">
              <a16:creationId xmlns:a16="http://schemas.microsoft.com/office/drawing/2014/main" id="{0E4984C9-3BE1-4632-99F6-F4A30F9435A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5813" y="1702594"/>
          <a:ext cx="1095374" cy="1045370"/>
        </a:xfrm>
        <a:prstGeom prst="rect">
          <a:avLst/>
        </a:prstGeom>
      </xdr:spPr>
    </xdr:pic>
    <xdr:clientData/>
  </xdr:twoCellAnchor>
  <xdr:twoCellAnchor editAs="oneCell">
    <xdr:from>
      <xdr:col>0</xdr:col>
      <xdr:colOff>0</xdr:colOff>
      <xdr:row>5</xdr:row>
      <xdr:rowOff>95250</xdr:rowOff>
    </xdr:from>
    <xdr:to>
      <xdr:col>1</xdr:col>
      <xdr:colOff>250031</xdr:colOff>
      <xdr:row>10</xdr:row>
      <xdr:rowOff>171433</xdr:rowOff>
    </xdr:to>
    <xdr:pic>
      <xdr:nvPicPr>
        <xdr:cNvPr id="9" name="Graphic 8" descr="Atom">
          <a:extLst>
            <a:ext uri="{FF2B5EF4-FFF2-40B4-BE49-F238E27FC236}">
              <a16:creationId xmlns:a16="http://schemas.microsoft.com/office/drawing/2014/main" id="{BE75384E-8393-00C9-E47B-F9B22448789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1607344"/>
          <a:ext cx="857250" cy="102868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5423495369" backgroundQuery="1" createdVersion="8" refreshedVersion="8" minRefreshableVersion="3" recordCount="0" supportSubquery="1" supportAdvancedDrill="1" xr:uid="{E578F17F-5BF2-4BDB-8A48-C86F0FAD7C0C}">
  <cacheSource type="external" connectionId="4"/>
  <cacheFields count="4">
    <cacheField name="[Project_2_Online_Course_Sales].[Country].[Country]" caption="Country" numFmtId="0" hierarchy="4" level="1">
      <sharedItems count="7">
        <s v="India"/>
        <s v="Kenya"/>
        <s v="Nigeria"/>
        <s v="Philippines"/>
        <s v="South Africa"/>
        <s v="UK"/>
        <s v="USA"/>
      </sharedItems>
    </cacheField>
    <cacheField name="[Measures].[Sum of Total]" caption="Sum of Total" numFmtId="0" hierarchy="36" level="32767"/>
    <cacheField name="[Project_2_Online_Course_Sales].[Payment Method].[Payment Method]" caption="Payment Method" numFmtId="0" hierarchy="8" level="1">
      <sharedItems containsSemiMixedTypes="0" containsNonDate="0" containsString="0"/>
    </cacheField>
    <cacheField name="[Project_2_Online_Course_Sales].[Instructor].[Instructor]" caption="Instructor" numFmtId="0" hierarchy="3" level="1">
      <sharedItems containsSemiMixedTypes="0" containsNonDate="0" containsString="0"/>
    </cacheField>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2" memberValueDatatype="130" unbalanced="0">
      <fieldsUsage count="2">
        <fieldUsage x="-1"/>
        <fieldUsage x="3"/>
      </fieldsUsage>
    </cacheHierarchy>
    <cacheHierarchy uniqueName="[Project_2_Online_Course_Sales].[Country]" caption="Country" attribute="1" defaultMemberUniqueName="[Project_2_Online_Course_Sales].[Country].[All]" allUniqueName="[Project_2_Online_Course_Sales].[Country].[All]" dimensionUniqueName="[Project_2_Online_Course_Sales]" displayFolder="" count="2" memberValueDatatype="130" unbalanced="0">
      <fieldsUsage count="2">
        <fieldUsage x="-1"/>
        <fieldUsage x="0"/>
      </fieldsUsage>
    </cacheHierarchy>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2" memberValueDatatype="130" unbalanced="0">
      <fieldsUsage count="2">
        <fieldUsage x="-1"/>
        <fieldUsage x="2"/>
      </fieldsUsage>
    </cacheHierarchy>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5425578702" backgroundQuery="1" createdVersion="8" refreshedVersion="8" minRefreshableVersion="3" recordCount="0" supportSubquery="1" supportAdvancedDrill="1" xr:uid="{90F751A5-2702-4A86-B891-57904F15A786}">
  <cacheSource type="external" connectionId="4"/>
  <cacheFields count="3">
    <cacheField name="[Project_2_Online_Course_Sales].[Category].[Category]" caption="Category" numFmtId="0" hierarchy="2" level="1">
      <sharedItems count="7">
        <s v="Analytics"/>
        <s v="Business"/>
        <s v="Communication"/>
        <s v="Design"/>
        <s v="Marketing"/>
        <s v="Productivity"/>
        <s v="Programming"/>
      </sharedItems>
    </cacheField>
    <cacheField name="[Measures].[Sum of Total]" caption="Sum of Total" numFmtId="0" hierarchy="36" level="32767"/>
    <cacheField name="[Project_2_Online_Course_Sales].[Payment Method].[Payment Method]" caption="Payment Method" numFmtId="0" hierarchy="8" level="1">
      <sharedItems containsSemiMixedTypes="0" containsNonDate="0" containsString="0"/>
    </cacheField>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2" memberValueDatatype="130" unbalanced="0">
      <fieldsUsage count="2">
        <fieldUsage x="-1"/>
        <fieldUsage x="0"/>
      </fieldsUsage>
    </cacheHierarchy>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0" memberValueDatatype="130" unbalanced="0"/>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2" memberValueDatatype="130" unbalanced="0">
      <fieldsUsage count="2">
        <fieldUsage x="-1"/>
        <fieldUsage x="2"/>
      </fieldsUsage>
    </cacheHierarchy>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5424884262" backgroundQuery="1" createdVersion="8" refreshedVersion="8" minRefreshableVersion="3" recordCount="0" supportSubquery="1" supportAdvancedDrill="1" xr:uid="{DCB93706-DF5C-4B16-8034-82838A853B49}">
  <cacheSource type="external" connectionId="4"/>
  <cacheFields count="4">
    <cacheField name="[Project_2_Online_Course_Sales].[Course Name].[Course Name]" caption="Course Name" numFmtId="0" hierarchy="1" level="1">
      <sharedItems count="8">
        <s v="Data Visualization"/>
        <s v="Digital Marketing"/>
        <s v="Excel for Beginners"/>
        <s v="Graphic Design"/>
        <s v="Project Management"/>
        <s v="Public Speaking"/>
        <s v="Python Basics"/>
        <s v="SQL Essentials"/>
      </sharedItems>
    </cacheField>
    <cacheField name="[Measures].[Average of Rating]" caption="Average of Rating" numFmtId="0" hierarchy="39" level="32767"/>
    <cacheField name="[Project_2_Online_Course_Sales].[Payment Method].[Payment Method]" caption="Payment Method" numFmtId="0" hierarchy="8" level="1">
      <sharedItems containsSemiMixedTypes="0" containsNonDate="0" containsString="0"/>
    </cacheField>
    <cacheField name="[Project_2_Online_Course_Sales].[Instructor].[Instructor]" caption="Instructor" numFmtId="0" hierarchy="3" level="1">
      <sharedItems containsSemiMixedTypes="0" containsNonDate="0" containsString="0"/>
    </cacheField>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2" memberValueDatatype="130" unbalanced="0">
      <fieldsUsage count="2">
        <fieldUsage x="-1"/>
        <fieldUsage x="0"/>
      </fieldsUsage>
    </cacheHierarchy>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2" memberValueDatatype="130" unbalanced="0">
      <fieldsUsage count="2">
        <fieldUsage x="-1"/>
        <fieldUsage x="3"/>
      </fieldsUsage>
    </cacheHierarchy>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2" memberValueDatatype="130" unbalanced="0">
      <fieldsUsage count="2">
        <fieldUsage x="-1"/>
        <fieldUsage x="2"/>
      </fieldsUsage>
    </cacheHierarchy>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5424421293" backgroundQuery="1" createdVersion="8" refreshedVersion="8" minRefreshableVersion="3" recordCount="0" supportSubquery="1" supportAdvancedDrill="1" xr:uid="{28C709E8-CAB2-47F3-B2E3-07728C2B4311}">
  <cacheSource type="external" connectionId="4"/>
  <cacheFields count="5">
    <cacheField name="[Project_2_Online_Course_Sales].[Order Date].[Order Date]" caption="Order Date" numFmtId="0" level="1">
      <sharedItems containsSemiMixedTypes="0" containsNonDate="0" containsDate="1" containsString="0" minDate="2025-01-01T00:00:00" maxDate="2025-06-30T00:00:00" count="139">
        <d v="2025-01-01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1T00:00:00"/>
        <d v="2025-02-01T00:00:00"/>
        <d v="2025-02-02T00:00:00"/>
        <d v="2025-02-03T00:00:00"/>
        <d v="2025-02-04T00:00:00"/>
        <d v="2025-02-05T00:00:00"/>
        <d v="2025-02-06T00:00:00"/>
        <d v="2025-02-07T00:00:00"/>
        <d v="2025-02-09T00:00:00"/>
        <d v="2025-02-10T00:00:00"/>
        <d v="2025-02-11T00:00:00"/>
        <d v="2025-02-12T00:00:00"/>
        <d v="2025-02-13T00:00:00"/>
        <d v="2025-02-15T00:00:00"/>
        <d v="2025-02-17T00:00:00"/>
        <d v="2025-02-18T00:00:00"/>
        <d v="2025-02-19T00:00:00"/>
        <d v="2025-02-20T00:00:00"/>
        <d v="2025-02-23T00:00:00"/>
        <d v="2025-02-24T00:00:00"/>
        <d v="2025-02-25T00:00:00"/>
        <d v="2025-02-26T00:00:00"/>
        <d v="2025-02-27T00:00:00"/>
        <d v="2025-02-28T00:00:00"/>
        <d v="2025-03-01T00:00:00"/>
        <d v="2025-03-02T00:00:00"/>
        <d v="2025-03-03T00:00:00"/>
        <d v="2025-03-04T00:00:00"/>
        <d v="2025-03-07T00:00:00"/>
        <d v="2025-03-08T00:00:00"/>
        <d v="2025-03-09T00:00:00"/>
        <d v="2025-03-10T00:00:00"/>
        <d v="2025-03-11T00:00:00"/>
        <d v="2025-03-12T00:00:00"/>
        <d v="2025-03-14T00:00:00"/>
        <d v="2025-03-15T00:00:00"/>
        <d v="2025-03-16T00:00:00"/>
        <d v="2025-03-17T00:00:00"/>
        <d v="2025-03-19T00:00:00"/>
        <d v="2025-03-21T00:00:00"/>
        <d v="2025-03-22T00:00:00"/>
        <d v="2025-03-25T00:00:00"/>
        <d v="2025-03-27T00:00:00"/>
        <d v="2025-03-28T00:00:00"/>
        <d v="2025-03-29T00:00:00"/>
        <d v="2025-03-31T00:00:00"/>
        <d v="2025-04-01T00:00:00"/>
        <d v="2025-04-02T00:00:00"/>
        <d v="2025-04-04T00:00:00"/>
        <d v="2025-04-05T00:00:00"/>
        <d v="2025-04-06T00:00:00"/>
        <d v="2025-04-07T00:00:00"/>
        <d v="2025-04-08T00:00:00"/>
        <d v="2025-04-12T00:00:00"/>
        <d v="2025-04-13T00:00:00"/>
        <d v="2025-04-14T00:00:00"/>
        <d v="2025-04-15T00:00:00"/>
        <d v="2025-04-17T00:00:00"/>
        <d v="2025-04-18T00:00:00"/>
        <d v="2025-04-19T00:00:00"/>
        <d v="2025-04-20T00:00:00"/>
        <d v="2025-04-22T00:00:00"/>
        <d v="2025-04-23T00:00:00"/>
        <d v="2025-04-24T00:00:00"/>
        <d v="2025-04-25T00:00:00"/>
        <d v="2025-04-26T00:00:00"/>
        <d v="2025-04-27T00:00:00"/>
        <d v="2025-04-28T00:00:00"/>
        <d v="2025-04-29T00:00:00"/>
        <d v="2025-04-30T00:00:00"/>
        <d v="2025-05-01T00:00:00"/>
        <d v="2025-05-03T00:00:00"/>
        <d v="2025-05-04T00:00:00"/>
        <d v="2025-05-07T00:00:00"/>
        <d v="2025-05-08T00:00:00"/>
        <d v="2025-05-09T00:00:00"/>
        <d v="2025-05-11T00:00:00"/>
        <d v="2025-05-12T00:00:00"/>
        <d v="2025-05-13T00:00:00"/>
        <d v="2025-05-14T00:00:00"/>
        <d v="2025-05-17T00:00:00"/>
        <d v="2025-05-18T00:00:00"/>
        <d v="2025-05-19T00:00:00"/>
        <d v="2025-05-20T00:00:00"/>
        <d v="2025-05-22T00:00:00"/>
        <d v="2025-05-25T00:00:00"/>
        <d v="2025-05-26T00:00:00"/>
        <d v="2025-05-29T00:00:00"/>
        <d v="2025-05-30T00:00:00"/>
        <d v="2025-06-03T00:00:00"/>
        <d v="2025-06-05T00:00:00"/>
        <d v="2025-06-06T00:00:00"/>
        <d v="2025-06-07T00:00:00"/>
        <d v="2025-06-08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7T00:00:00"/>
        <d v="2025-06-28T00:00:00"/>
        <d v="2025-06-29T00:00:00"/>
      </sharedItems>
    </cacheField>
    <cacheField name="[Project_2_Online_Course_Sales].[Order Date (Month)].[Order Date (Month)]" caption="Order Date (Month)" numFmtId="0" hierarchy="10" level="1">
      <sharedItems count="6">
        <s v="Jan"/>
        <s v="Feb"/>
        <s v="Mar"/>
        <s v="Apr"/>
        <s v="May"/>
        <s v="Jun"/>
      </sharedItems>
    </cacheField>
    <cacheField name="[Measures].[Sum of Total]" caption="Sum of Total" numFmtId="0" hierarchy="36" level="32767"/>
    <cacheField name="[Project_2_Online_Course_Sales].[Payment Method].[Payment Method]" caption="Payment Method" numFmtId="0" hierarchy="8" level="1">
      <sharedItems containsSemiMixedTypes="0" containsNonDate="0" containsString="0"/>
    </cacheField>
    <cacheField name="[Project_2_Online_Course_Sales].[Instructor].[Instructor]" caption="Instructor" numFmtId="0" hierarchy="3" level="1">
      <sharedItems containsSemiMixedTypes="0" containsNonDate="0" containsString="0"/>
    </cacheField>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2" memberValueDatatype="7" unbalanced="0">
      <fieldsUsage count="2">
        <fieldUsage x="-1"/>
        <fieldUsage x="0"/>
      </fieldsUsage>
    </cacheHierarchy>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2" memberValueDatatype="130" unbalanced="0">
      <fieldsUsage count="2">
        <fieldUsage x="-1"/>
        <fieldUsage x="4"/>
      </fieldsUsage>
    </cacheHierarchy>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2" memberValueDatatype="130" unbalanced="0">
      <fieldsUsage count="2">
        <fieldUsage x="-1"/>
        <fieldUsage x="3"/>
      </fieldsUsage>
    </cacheHierarchy>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2" memberValueDatatype="130" unbalanced="0">
      <fieldsUsage count="2">
        <fieldUsage x="-1"/>
        <fieldUsage x="1"/>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5424074077" backgroundQuery="1" createdVersion="8" refreshedVersion="8" minRefreshableVersion="3" recordCount="0" supportSubquery="1" supportAdvancedDrill="1" xr:uid="{8D2E8465-20E9-4A16-9FE5-C1E0CEF8B4A8}">
  <cacheSource type="external" connectionId="4"/>
  <cacheFields count="5">
    <cacheField name="[Measures].[Sum of Total]" caption="Sum of Total" numFmtId="0" hierarchy="36" level="32767"/>
    <cacheField name="[Project_2_Online_Course_Sales].[Course Name].[Course Name]" caption="Course Name" numFmtId="0" hierarchy="1" level="1">
      <sharedItems count="8">
        <s v="Data Visualization"/>
        <s v="Digital Marketing"/>
        <s v="Excel for Beginners"/>
        <s v="Graphic Design"/>
        <s v="Project Management"/>
        <s v="Public Speaking"/>
        <s v="Python Basics"/>
        <s v="SQL Essentials"/>
      </sharedItems>
    </cacheField>
    <cacheField name="[Project_2_Online_Course_Sales].[Category].[Category]" caption="Category" numFmtId="0" hierarchy="2" level="1">
      <sharedItems containsSemiMixedTypes="0" containsNonDate="0" containsString="0"/>
    </cacheField>
    <cacheField name="[Project_2_Online_Course_Sales].[Payment Method].[Payment Method]" caption="Payment Method" numFmtId="0" hierarchy="8" level="1">
      <sharedItems containsSemiMixedTypes="0" containsNonDate="0" containsString="0"/>
    </cacheField>
    <cacheField name="[Project_2_Online_Course_Sales].[Instructor].[Instructor]" caption="Instructor" numFmtId="0" hierarchy="3" level="1">
      <sharedItems containsSemiMixedTypes="0" containsNonDate="0" containsString="0"/>
    </cacheField>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2" memberValueDatatype="130" unbalanced="0">
      <fieldsUsage count="2">
        <fieldUsage x="-1"/>
        <fieldUsage x="1"/>
      </fieldsUsage>
    </cacheHierarchy>
    <cacheHierarchy uniqueName="[Project_2_Online_Course_Sales].[Category]" caption="Category" attribute="1" defaultMemberUniqueName="[Project_2_Online_Course_Sales].[Category].[All]" allUniqueName="[Project_2_Online_Course_Sales].[Category].[All]" dimensionUniqueName="[Project_2_Online_Course_Sales]" displayFolder="" count="2" memberValueDatatype="130" unbalanced="0">
      <fieldsUsage count="2">
        <fieldUsage x="-1"/>
        <fieldUsage x="2"/>
      </fieldsUsage>
    </cacheHierarchy>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2" memberValueDatatype="130" unbalanced="0">
      <fieldsUsage count="2">
        <fieldUsage x="-1"/>
        <fieldUsage x="4"/>
      </fieldsUsage>
    </cacheHierarchy>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2" memberValueDatatype="130" unbalanced="0">
      <fieldsUsage count="2">
        <fieldUsage x="-1"/>
        <fieldUsage x="3"/>
      </fieldsUsage>
    </cacheHierarchy>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5454224537" backgroundQuery="1" createdVersion="8" refreshedVersion="8" minRefreshableVersion="3" recordCount="0" supportSubquery="1" supportAdvancedDrill="1" xr:uid="{72F03BDE-189E-44B0-9D50-D39908ADC6EB}">
  <cacheSource type="external" connectionId="4"/>
  <cacheFields count="1">
    <cacheField name="[Measures].[Average of Price]" caption="Average of Price" numFmtId="0" hierarchy="43" level="32767"/>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0" memberValueDatatype="130" unbalanced="0"/>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0" memberValueDatatype="130" unbalanced="0"/>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9617013891" backgroundQuery="1" createdVersion="8" refreshedVersion="8" minRefreshableVersion="3" recordCount="0" supportSubquery="1" supportAdvancedDrill="1" xr:uid="{6D67C67A-65FA-4C85-9668-49C63B9887B2}">
  <cacheSource type="external" connectionId="4"/>
  <cacheFields count="1">
    <cacheField name="[Measures].[Sum of Total 2]" caption="Sum of Total 2" numFmtId="0" hierarchy="41" level="32767"/>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0" memberValueDatatype="130" unbalanced="0"/>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0" memberValueDatatype="130" unbalanced="0"/>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127.748533912039" backgroundQuery="1" createdVersion="8" refreshedVersion="8" minRefreshableVersion="3" recordCount="0" supportSubquery="1" supportAdvancedDrill="1" xr:uid="{9BBF918C-5AAE-4953-BB19-05AA8964B722}">
  <cacheSource type="external" connectionId="4"/>
  <cacheFields count="1">
    <cacheField name="[Measures].[Sum of Quantity]" caption="Sum of Quantity" numFmtId="0" hierarchy="40" level="32767"/>
  </cacheFields>
  <cacheHierarchies count="44">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0" memberValueDatatype="130" unbalanced="0"/>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0" memberValueDatatype="130" unbalanced="0"/>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Total 2]" caption="Sum of Total 2" measure="1" displayFolder="" measureGroup="Table1" count="0" hidden="1">
      <extLst>
        <ext xmlns:x15="http://schemas.microsoft.com/office/spreadsheetml/2010/11/main" uri="{B97F6D7D-B522-45F9-BDA1-12C45D357490}">
          <x15:cacheHierarchy aggregatedColumn="28"/>
        </ext>
      </extLst>
    </cacheHierarchy>
    <cacheHierarchy uniqueName="[Measures].[Sum of Price]" caption="Sum of Price" measure="1" displayFolder="" measureGroup="Project_2_Online_Course_Sales"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ject_2_Online_Course_Sales"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857.628097337962" backgroundQuery="1" createdVersion="3" refreshedVersion="8" minRefreshableVersion="3" recordCount="0" supportSubquery="1" supportAdvancedDrill="1" xr:uid="{5D903091-E0B0-46C2-9936-BFA79F7FE7FA}">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Project_2_Online_Course_Sales].[Order Date]" caption="Order Date" attribute="1" time="1" defaultMemberUniqueName="[Project_2_Online_Course_Sales].[Order Date].[All]" allUniqueName="[Project_2_Online_Course_Sales].[Order Date].[All]" dimensionUniqueName="[Project_2_Online_Course_Sales]" displayFolder="" count="0" memberValueDatatype="7" unbalanced="0"/>
    <cacheHierarchy uniqueName="[Project_2_Online_Course_Sales].[Course Name]" caption="Course Name" attribute="1" defaultMemberUniqueName="[Project_2_Online_Course_Sales].[Course Name].[All]" allUniqueName="[Project_2_Online_Course_Sales].[Course Name].[All]" dimensionUniqueName="[Project_2_Online_Course_Sales]" displayFolder="" count="0" memberValueDatatype="130" unbalanced="0"/>
    <cacheHierarchy uniqueName="[Project_2_Online_Course_Sales].[Category]" caption="Category" attribute="1" defaultMemberUniqueName="[Project_2_Online_Course_Sales].[Category].[All]" allUniqueName="[Project_2_Online_Course_Sales].[Category].[All]" dimensionUniqueName="[Project_2_Online_Course_Sales]" displayFolder="" count="0" memberValueDatatype="130" unbalanced="0"/>
    <cacheHierarchy uniqueName="[Project_2_Online_Course_Sales].[Instructor]" caption="Instructor" attribute="1" defaultMemberUniqueName="[Project_2_Online_Course_Sales].[Instructor].[All]" allUniqueName="[Project_2_Online_Course_Sales].[Instructor].[All]" dimensionUniqueName="[Project_2_Online_Course_Sales]" displayFolder="" count="0" memberValueDatatype="130" unbalanced="0"/>
    <cacheHierarchy uniqueName="[Project_2_Online_Course_Sales].[Country]" caption="Country" attribute="1" defaultMemberUniqueName="[Project_2_Online_Course_Sales].[Country].[All]" allUniqueName="[Project_2_Online_Course_Sales].[Country].[All]" dimensionUniqueName="[Project_2_Online_Course_Sales]" displayFolder="" count="0" memberValueDatatype="130" unbalanced="0"/>
    <cacheHierarchy uniqueName="[Project_2_Online_Course_Sales].[Price]" caption="Price" attribute="1" defaultMemberUniqueName="[Project_2_Online_Course_Sales].[Price].[All]" allUniqueName="[Project_2_Online_Course_Sales].[Price].[All]" dimensionUniqueName="[Project_2_Online_Course_Sales]" displayFolder="" count="0" memberValueDatatype="5" unbalanced="0"/>
    <cacheHierarchy uniqueName="[Project_2_Online_Course_Sales].[Quantity]" caption="Quantity" attribute="1" defaultMemberUniqueName="[Project_2_Online_Course_Sales].[Quantity].[All]" allUniqueName="[Project_2_Online_Course_Sales].[Quantity].[All]" dimensionUniqueName="[Project_2_Online_Course_Sales]" displayFolder="" count="0" memberValueDatatype="20" unbalanced="0"/>
    <cacheHierarchy uniqueName="[Project_2_Online_Course_Sales].[Total]" caption="Total" attribute="1" defaultMemberUniqueName="[Project_2_Online_Course_Sales].[Total].[All]" allUniqueName="[Project_2_Online_Course_Sales].[Total].[All]" dimensionUniqueName="[Project_2_Online_Course_Sales]" displayFolder="" count="0" memberValueDatatype="5" unbalanced="0"/>
    <cacheHierarchy uniqueName="[Project_2_Online_Course_Sales].[Payment Method]" caption="Payment Method" attribute="1" defaultMemberUniqueName="[Project_2_Online_Course_Sales].[Payment Method].[All]" allUniqueName="[Project_2_Online_Course_Sales].[Payment Method].[All]" dimensionUniqueName="[Project_2_Online_Course_Sales]" displayFolder="" count="0" memberValueDatatype="130" unbalanced="0"/>
    <cacheHierarchy uniqueName="[Project_2_Online_Course_Sales].[Rating]" caption="Rating" attribute="1" defaultMemberUniqueName="[Project_2_Online_Course_Sales].[Rating].[All]" allUniqueName="[Project_2_Online_Course_Sales].[Rating].[All]" dimensionUniqueName="[Project_2_Online_Course_Sales]" displayFolder="" count="0" memberValueDatatype="5" unbalanced="0"/>
    <cacheHierarchy uniqueName="[Project_2_Online_Course_Sales].[Order Date (Month)]" caption="Order Date (Month)" attribute="1" defaultMemberUniqueName="[Project_2_Online_Course_Sales].[Order Date (Month)].[All]" allUniqueName="[Project_2_Online_Course_Sales].[Order Date (Month)].[All]" dimensionUniqueName="[Project_2_Online_Course_Sales]"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rse Name]" caption="Course Name" attribute="1" defaultMemberUniqueName="[Range].[Course Name].[All]" allUniqueName="[Range].[Course 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Instructor]" caption="Instructor" attribute="1" defaultMemberUniqueName="[Range].[Instructor].[All]" allUniqueName="[Range].[Instructor].[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Course Name]" caption="Course Name" attribute="1" defaultMemberUniqueName="[Table1].[Course Name].[All]" allUniqueName="[Table1].[Course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Instructor]" caption="Instructor" attribute="1" defaultMemberUniqueName="[Table1].[Instructor].[All]" allUniqueName="[Table1].[Instructor].[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caption="Total" attribute="1" defaultMemberUniqueName="[Table1].[Total].[All]" allUniqueName="[Table1].[Total].[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Project_2_Online_Course_Sales].[Order Date (Month Index)]" caption="Order Date (Month Index)" attribute="1" defaultMemberUniqueName="[Project_2_Online_Course_Sales].[Order Date (Month Index)].[All]" allUniqueName="[Project_2_Online_Course_Sales].[Order Date (Month Index)].[All]" dimensionUniqueName="[Project_2_Online_Course_Sales]" displayFolder="" count="0" memberValueDatatype="20" unbalanced="0" hidden="1"/>
    <cacheHierarchy uniqueName="[Measures].[__XL_Count Project_2_Online_Course_Sales]" caption="__XL_Count Project_2_Online_Course_Sales" measure="1" displayFolder="" measureGroup="Project_2_Online_Course_Sales" count="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caption="Sum of Total" measure="1" displayFolder="" measureGroup="Project_2_Online_Course_Sales"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0"/>
        </ext>
      </extLst>
    </cacheHierarchy>
    <cacheHierarchy uniqueName="[Measures].[Sum of Rating 2]" caption="Sum of Rating 2" measure="1" displayFolder="" measureGroup="Project_2_Online_Course_Sales"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Project_2_Online_Course_Sale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Project_2_Online_Course_Sales" uniqueName="[Project_2_Online_Course_Sales]" caption="Project_2_Online_Course_Sales"/>
    <dimension name="Range" uniqueName="[Range]" caption="Range"/>
    <dimension name="Table1" uniqueName="[Table1]" caption="Table1"/>
  </dimensions>
  <measureGroups count="3">
    <measureGroup name="Project_2_Online_Course_Sales" caption="Project_2_Online_Course_Sales"/>
    <measureGroup name="Range" caption="Range"/>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licerData="1" pivotCacheId="156101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005823-16B8-4A86-AE42-EE3A9CF6EF84}" name="PivotTable1" cacheId="766" applyNumberFormats="0" applyBorderFormats="0" applyFontFormats="0" applyPatternFormats="0" applyAlignmentFormats="0" applyWidthHeightFormats="1" dataCaption="Values" tag="d5d344eb-0564-478e-998f-36e5cc73afb1" updatedVersion="8" minRefreshableVersion="3" useAutoFormatting="1" subtotalHiddenItems="1" itemPrintTitles="1" createdVersion="8" indent="0" multipleFieldFilters="0" chartFormat="20">
  <location ref="A3:B11" firstHeaderRow="1" firstDataRow="1" firstDataCol="1"/>
  <pivotFields count="4">
    <pivotField axis="axisRow" allDrilled="1" showAll="0" sortType="ascending" dataSourceSort="1"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8">
    <i>
      <x v="6"/>
    </i>
    <i>
      <x v="3"/>
    </i>
    <i>
      <x v="1"/>
    </i>
    <i>
      <x v="5"/>
    </i>
    <i>
      <x v="4"/>
    </i>
    <i>
      <x v="2"/>
    </i>
    <i>
      <x/>
    </i>
    <i t="grand">
      <x/>
    </i>
  </rowItems>
  <colItems count="1">
    <i/>
  </colItems>
  <dataFields count="1">
    <dataField name="Sum of Total" fld="1" baseField="0" baseItem="0"/>
  </dataFields>
  <chartFormats count="2">
    <chartFormat chart="14" format="4"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0" count="1" selected="0">
            <x v="4"/>
          </reference>
        </references>
      </pivotArea>
    </chartFormat>
  </chartFormats>
  <pivotHierarchies count="44">
    <pivotHierarchy multipleItemSelectionAllowed="1" dragToData="1"/>
    <pivotHierarchy dragToData="1"/>
    <pivotHierarchy multipleItemSelectionAllowed="1" dragToData="1"/>
    <pivotHierarchy multipleItemSelectionAllowed="1" dragToData="1">
      <members count="1" level="1">
        <member name="[Project_2_Online_Course_Sales].[Instructor].&amp;[Felix]"/>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2_Online_Course_Sales">
        <x15:activeTabTopLevelEntity name="[Project_2_Online_Course_Sale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03A519-E9B8-42D3-A8FD-06EDAF4CE2E9}" name="PivotTable4" cacheId="767" applyNumberFormats="0" applyBorderFormats="0" applyFontFormats="0" applyPatternFormats="0" applyAlignmentFormats="0" applyWidthHeightFormats="1" dataCaption="Values" tag="b59d9a0f-f3bc-49d6-986e-225c88414047" updatedVersion="8" minRefreshableVersion="3" useAutoFormatting="1" itemPrintTitles="1" createdVersion="8" indent="0" multipleFieldFilters="0">
  <location ref="E18:F26"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Total" fld="1"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2_Online_Course_Sales">
        <x15:activeTabTopLevelEntity name="[Project_2_Online_Course_Sale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897FDB-B7E5-48DA-8E43-2169F9C27F12}" name="PivotTable5" cacheId="768" applyNumberFormats="0" applyBorderFormats="0" applyFontFormats="0" applyPatternFormats="0" applyAlignmentFormats="0" applyWidthHeightFormats="1" dataCaption="Values" tag="2ae8a903-2947-48d8-9851-e0924813b676" updatedVersion="8" minRefreshableVersion="3" useAutoFormatting="1" subtotalHiddenItems="1" itemPrintTitles="1" createdVersion="8" indent="0" multipleFieldFilters="0" chartFormat="8">
  <location ref="H3:I12" firstHeaderRow="1"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9">
    <i>
      <x v="7"/>
    </i>
    <i>
      <x/>
    </i>
    <i>
      <x v="6"/>
    </i>
    <i>
      <x v="5"/>
    </i>
    <i>
      <x v="2"/>
    </i>
    <i>
      <x v="4"/>
    </i>
    <i>
      <x v="1"/>
    </i>
    <i>
      <x v="3"/>
    </i>
    <i t="grand">
      <x/>
    </i>
  </rowItems>
  <colItems count="1">
    <i/>
  </colItems>
  <dataFields count="1">
    <dataField name="Average of Rating" fld="1" subtotal="average" baseField="0" baseItem="0"/>
  </dataFields>
  <chartFormats count="1">
    <chartFormat chart="5"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Project_2_Online_Course_Sales].[Instructor].&amp;[Felix]"/>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Project_2_Online_Course_Sa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178D9-7634-4081-A87F-5F4504BF9E29}" name="PivotTable3" cacheId="769" applyNumberFormats="0" applyBorderFormats="0" applyFontFormats="0" applyPatternFormats="0" applyAlignmentFormats="0" applyWidthHeightFormats="1" dataCaption="Values" tag="06e3f2e5-e606-4962-b62a-a16929800c36" updatedVersion="8" minRefreshableVersion="3" useAutoFormatting="1" itemPrintTitles="1" createdVersion="8" indent="0" multipleFieldFilters="0" chartFormat="14">
  <location ref="E3:F10" firstHeaderRow="1" firstDataRow="1" firstDataCol="1"/>
  <pivotFields count="5">
    <pivotField axis="axisRow" allDrilled="1" showAll="0" dataSourceSort="1" defaultAttributeDrillState="1">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axis="axisRow" allDrilled="1" showAll="0" dataSourceSort="1">
      <items count="7">
        <item x="0" e="0"/>
        <item x="1" e="0"/>
        <item x="2" e="0"/>
        <item x="3" e="0"/>
        <item x="4" e="0"/>
        <item x="5" e="0"/>
        <item t="default"/>
      </items>
    </pivotField>
    <pivotField dataField="1" showAll="0"/>
    <pivotField allDrilled="1" showAll="0" dataSourceSort="1" defaultAttributeDrillState="1"/>
    <pivotField allDrilled="1" showAll="0" dataSourceSort="1" defaultAttributeDrillState="1"/>
  </pivotFields>
  <rowFields count="2">
    <field x="1"/>
    <field x="0"/>
  </rowFields>
  <rowItems count="7">
    <i>
      <x/>
    </i>
    <i>
      <x v="1"/>
    </i>
    <i>
      <x v="2"/>
    </i>
    <i>
      <x v="3"/>
    </i>
    <i>
      <x v="4"/>
    </i>
    <i>
      <x v="5"/>
    </i>
    <i t="grand">
      <x/>
    </i>
  </rowItems>
  <colItems count="1">
    <i/>
  </colItems>
  <dataFields count="1">
    <dataField name="Sum of Total"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Project_2_Online_Course_Sales].[Instructor].&amp;[Felix]"/>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2_Online_Course_Sales">
        <x15:activeTabTopLevelEntity name="[Project_2_Online_Course_Sal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E30AC-4327-481E-9376-0816702AAE08}" name="PivotTable2" cacheId="770" applyNumberFormats="0" applyBorderFormats="0" applyFontFormats="0" applyPatternFormats="0" applyAlignmentFormats="0" applyWidthHeightFormats="1" dataCaption="Values" tag="4ce882a8-4697-4343-8681-e6944f14c5c0" updatedVersion="8" minRefreshableVersion="3" useAutoFormatting="1" subtotalHiddenItems="1" itemPrintTitles="1" createdVersion="8" indent="0" multipleFieldFilters="0" chartFormat="11">
  <location ref="A18:B27" firstHeaderRow="1" firstDataRow="1" firstDataCol="1" rowPageCount="1" colPageCount="1"/>
  <pivotFields count="5">
    <pivotField dataField="1" showAll="0"/>
    <pivotField axis="axisRow" allDrilled="1" showAll="0" sortType="ascending" dataSourceSort="1"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allDrilled="1" showAll="0" dataSourceSort="1" defaultAttributeDrillState="1"/>
    <pivotField allDrilled="1" showAll="0" dataSourceSort="1" defaultAttributeDrillState="1"/>
  </pivotFields>
  <rowFields count="1">
    <field x="1"/>
  </rowFields>
  <rowItems count="9">
    <i>
      <x v="2"/>
    </i>
    <i>
      <x v="1"/>
    </i>
    <i>
      <x/>
    </i>
    <i>
      <x v="3"/>
    </i>
    <i>
      <x v="6"/>
    </i>
    <i>
      <x v="7"/>
    </i>
    <i>
      <x v="4"/>
    </i>
    <i>
      <x v="5"/>
    </i>
    <i t="grand">
      <x/>
    </i>
  </rowItems>
  <colItems count="1">
    <i/>
  </colItems>
  <pageFields count="1">
    <pageField fld="2" hier="2" name="[Project_2_Online_Course_Sales].[Category].[All]" cap="All"/>
  </pageFields>
  <dataFields count="1">
    <dataField name="Sum of Total"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members count="1" level="1">
        <member name="[Project_2_Online_Course_Sales].[Instructor].&amp;[Felix]"/>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ject_2_Online_Course_Sales">
        <x15:activeTabTopLevelEntity name="[Project_2_Online_Course_Sale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FC428-9270-47D2-8E27-D1C7C637CF0B}" name="PivotTable8" cacheId="7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P4" firstHeaderRow="1" firstDataRow="1" firstDataCol="0"/>
  <pivotFields count="1">
    <pivotField dataField="1" subtotalTop="0" showAll="0" defaultSubtotal="0"/>
  </pivotFields>
  <rowItems count="1">
    <i/>
  </rowItems>
  <colItems count="1">
    <i/>
  </colItems>
  <dataFields count="1">
    <dataField name="Average of Price" fld="0" subtotal="average" baseField="0" baseItem="0" numFmtId="2"/>
  </dataFields>
  <formats count="11">
    <format dxfId="141">
      <pivotArea outline="0" collapsedLevelsAreSubtotals="1" fieldPosition="0"/>
    </format>
    <format dxfId="139">
      <pivotArea dataOnly="0" labelOnly="1" outline="0" axis="axisValues" fieldPosition="0"/>
    </format>
    <format dxfId="137">
      <pivotArea outline="0" collapsedLevelsAreSubtotals="1" fieldPosition="0"/>
    </format>
    <format dxfId="109">
      <pivotArea outline="0" collapsedLevelsAreSubtotals="1" fieldPosition="0"/>
    </format>
    <format dxfId="107">
      <pivotArea type="all" dataOnly="0" outline="0" fieldPosition="0"/>
    </format>
    <format dxfId="106">
      <pivotArea outline="0" collapsedLevelsAreSubtotals="1" fieldPosition="0"/>
    </format>
    <format dxfId="95">
      <pivotArea outline="0" collapsedLevelsAreSubtotals="1" fieldPosition="0"/>
    </format>
    <format dxfId="37">
      <pivotArea outline="0" collapsedLevelsAreSubtotals="1" fieldPosition="0"/>
    </format>
    <format dxfId="29">
      <pivotArea type="all" dataOnly="0" outline="0" fieldPosition="0"/>
    </format>
    <format dxfId="25">
      <pivotArea outline="0" collapsedLevelsAreSubtotals="1" fieldPosition="0"/>
    </format>
    <format dxfId="24">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_2_Online_Cours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3C608B-9599-452D-A37F-7489888B31B2}" name="PivotTable7" cacheId="7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
    <pivotField dataField="1" subtotalTop="0" showAll="0" defaultSubtotal="0"/>
  </pivotFields>
  <rowItems count="1">
    <i/>
  </rowItems>
  <colItems count="1">
    <i/>
  </colItems>
  <dataFields count="1">
    <dataField name="Total Sales" fld="0" baseField="0" baseItem="0" numFmtId="43"/>
  </dataFields>
  <formats count="9">
    <format dxfId="164">
      <pivotArea dataOnly="0" labelOnly="1" outline="0" axis="axisValues" fieldPosition="0"/>
    </format>
    <format dxfId="163">
      <pivotArea outline="0" collapsedLevelsAreSubtotals="1" fieldPosition="0"/>
    </format>
    <format dxfId="104">
      <pivotArea type="all" dataOnly="0" outline="0" fieldPosition="0"/>
    </format>
    <format dxfId="103">
      <pivotArea outline="0" collapsedLevelsAreSubtotals="1" fieldPosition="0"/>
    </format>
    <format dxfId="96">
      <pivotArea outline="0" collapsedLevelsAreSubtotals="1" fieldPosition="0"/>
    </format>
    <format dxfId="22">
      <pivotArea type="all" dataOnly="0" outline="0" fieldPosition="0"/>
    </format>
    <format dxfId="18">
      <pivotArea outline="0" collapsedLevelsAreSubtotals="1" fieldPosition="0"/>
    </format>
    <format dxfId="17">
      <pivotArea dataOnly="0" labelOnly="1" outline="0" axis="axisValues" fieldPosition="0"/>
    </format>
    <format dxfId="0">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604F5C-B152-4E8E-8026-4C0092DC901B}" name="PivotTable6" cacheId="7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Total Quantity Sold" fld="0" baseField="0" baseItem="0"/>
  </dataFields>
  <formats count="10">
    <format dxfId="168">
      <pivotArea dataOnly="0" labelOnly="1" outline="0" axis="axisValues" fieldPosition="0"/>
    </format>
    <format dxfId="167">
      <pivotArea outline="0" collapsedLevelsAreSubtotals="1" fieldPosition="0"/>
    </format>
    <format dxfId="166">
      <pivotArea outline="0" collapsedLevelsAreSubtotals="1" fieldPosition="0"/>
    </format>
    <format dxfId="165">
      <pivotArea outline="0" collapsedLevelsAreSubtotals="1" fieldPosition="0"/>
    </format>
    <format dxfId="101">
      <pivotArea type="all" dataOnly="0" outline="0" fieldPosition="0"/>
    </format>
    <format dxfId="100">
      <pivotArea outline="0" collapsedLevelsAreSubtotals="1" fieldPosition="0"/>
    </format>
    <format dxfId="98">
      <pivotArea outline="0" collapsedLevelsAreSubtotals="1" fieldPosition="0"/>
    </format>
    <format dxfId="15">
      <pivotArea type="all" dataOnly="0" outline="0" fieldPosition="0"/>
    </format>
    <format dxfId="11">
      <pivotArea outline="0" collapsedLevelsAreSubtotals="1" fieldPosition="0"/>
    </format>
    <format dxfId="10">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Quantity Sol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ructor1" xr10:uid="{FE04F68D-5C9C-4366-8ED9-5FD7916F5C9C}" sourceName="[Project_2_Online_Course_Sales].[Instructor]">
  <pivotTables>
    <pivotTable tabId="3" name="PivotTable1"/>
    <pivotTable tabId="3" name="PivotTable2"/>
    <pivotTable tabId="3" name="PivotTable3"/>
    <pivotTable tabId="3" name="PivotTable5"/>
  </pivotTables>
  <data>
    <olap pivotCacheId="156101107">
      <levels count="2">
        <level uniqueName="[Project_2_Online_Course_Sales].[Instructor].[(All)]" sourceCaption="(All)" count="0"/>
        <level uniqueName="[Project_2_Online_Course_Sales].[Instructor].[Instructor]" sourceCaption="Instructor" count="6">
          <ranges>
            <range startItem="0">
              <i n="[Project_2_Online_Course_Sales].[Instructor].&amp;[Alice]" c="Alice"/>
              <i n="[Project_2_Online_Course_Sales].[Instructor].&amp;[Brian]" c="Brian"/>
              <i n="[Project_2_Online_Course_Sales].[Instructor].&amp;[Carla]" c="Carla"/>
              <i n="[Project_2_Online_Course_Sales].[Instructor].&amp;[David]" c="David"/>
              <i n="[Project_2_Online_Course_Sales].[Instructor].&amp;[Emma]" c="Emma"/>
              <i n="[Project_2_Online_Course_Sales].[Instructor].&amp;[Felix]" c="Felix"/>
            </range>
          </ranges>
        </level>
      </levels>
      <selections count="1">
        <selection n="[Project_2_Online_Course_Sales].[Instructor].&amp;[Felix]"/>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35A1E02-CD05-4D98-9278-20D42070C071}" sourceName="[Project_2_Online_Course_Sales].[Payment Method]">
  <pivotTables>
    <pivotTable tabId="3" name="PivotTable1"/>
    <pivotTable tabId="3" name="PivotTable2"/>
    <pivotTable tabId="3" name="PivotTable3"/>
    <pivotTable tabId="3" name="PivotTable5"/>
    <pivotTable tabId="3" name="PivotTable4"/>
  </pivotTables>
  <data>
    <olap pivotCacheId="156101107">
      <levels count="2">
        <level uniqueName="[Project_2_Online_Course_Sales].[Payment Method].[(All)]" sourceCaption="(All)" count="0"/>
        <level uniqueName="[Project_2_Online_Course_Sales].[Payment Method].[Payment Method]" sourceCaption="Payment Method" count="4">
          <ranges>
            <range startItem="0">
              <i n="[Project_2_Online_Course_Sales].[Payment Method].&amp;[Credit Card]" c="Credit Card"/>
              <i n="[Project_2_Online_Course_Sales].[Payment Method].&amp;[Mpesa]" c="Mpesa"/>
              <i n="[Project_2_Online_Course_Sales].[Payment Method].&amp;[PayPal]" c="PayPal"/>
              <i n="[Project_2_Online_Course_Sales].[Payment Method].&amp;[Stripe]" c="Stripe"/>
            </range>
          </ranges>
        </level>
      </levels>
      <selections count="1">
        <selection n="[Project_2_Online_Course_Sales].[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0EE025-FAA2-46B9-92A0-C845764F4632}" sourceName="[Project_2_Online_Course_Sales].[Category]">
  <pivotTables>
    <pivotTable tabId="3" name="PivotTable5"/>
  </pivotTables>
  <data>
    <olap pivotCacheId="156101107">
      <levels count="2">
        <level uniqueName="[Project_2_Online_Course_Sales].[Category].[(All)]" sourceCaption="(All)" count="0"/>
        <level uniqueName="[Project_2_Online_Course_Sales].[Category].[Category]" sourceCaption="Category" count="7">
          <ranges>
            <range startItem="0">
              <i n="[Project_2_Online_Course_Sales].[Category].&amp;[Analytics]" c="Analytics"/>
              <i n="[Project_2_Online_Course_Sales].[Category].&amp;[Business]" c="Business"/>
              <i n="[Project_2_Online_Course_Sales].[Category].&amp;[Communication]" c="Communication"/>
              <i n="[Project_2_Online_Course_Sales].[Category].&amp;[Design]" c="Design"/>
              <i n="[Project_2_Online_Course_Sales].[Category].&amp;[Marketing]" c="Marketing"/>
              <i n="[Project_2_Online_Course_Sales].[Category].&amp;[Productivity]" c="Productivity"/>
              <i n="[Project_2_Online_Course_Sales].[Category].&amp;[Programming]" c="Programming"/>
            </range>
          </ranges>
        </level>
      </levels>
      <selections count="1">
        <selection n="[Project_2_Online_Course_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ructor 2" xr10:uid="{0D4F42E3-BA08-4585-A60F-B0C972F22DC9}" cache="Slicer_Instructor1" caption="Instructor's Name" columnCount="6" level="1" rowHeight="241300"/>
  <slicer name="Payment Method 1" xr10:uid="{21FEFACD-188E-4559-B4BE-2A7943470D7E}" cache="Slicer_Payment_Method" caption="Payment Method" level="1" rowHeight="241300"/>
  <slicer name="Category" xr10:uid="{6858D075-BACC-4A51-861A-3DA21611E4C6}"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B9E30-F3B5-4619-B98D-9B61E9BF782F}" name="Table1" displayName="Table1" ref="A1:J301" totalsRowShown="0" headerRowDxfId="181" dataDxfId="180" tableBorderDxfId="179">
  <autoFilter ref="A1:J301" xr:uid="{F2EB9E30-F3B5-4619-B98D-9B61E9BF782F}"/>
  <tableColumns count="10">
    <tableColumn id="1" xr3:uid="{5356F516-083D-4B73-825E-7DEC8693EFEB}" name="Order Date" dataDxfId="178"/>
    <tableColumn id="2" xr3:uid="{111A1693-5D86-483F-9B9A-B60FB77E4462}" name="Course Name" dataDxfId="177"/>
    <tableColumn id="3" xr3:uid="{3AB0CDD8-F3D6-466D-BD27-25C31546F03C}" name="Category" dataDxfId="176"/>
    <tableColumn id="4" xr3:uid="{444DF114-40DA-4D0E-A101-260B2F502ABB}" name="Instructor" dataDxfId="175"/>
    <tableColumn id="5" xr3:uid="{340DB04B-F69A-41A9-A80C-5D9E0773130B}" name="Country" dataDxfId="174"/>
    <tableColumn id="6" xr3:uid="{2EFFA5B8-7654-4D0B-B850-C2D3F08E75E2}" name="Price" dataDxfId="173"/>
    <tableColumn id="7" xr3:uid="{0E302B1B-2CD2-4C71-AC7F-974047AAC9D3}" name="Quantity" dataDxfId="172"/>
    <tableColumn id="8" xr3:uid="{DB732C12-1DA0-49ED-80E6-51C277722CD7}" name="Total" dataDxfId="171"/>
    <tableColumn id="9" xr3:uid="{7C0F2DB6-E1AB-4C60-873C-E182CDB84A17}" name="Payment Method" dataDxfId="170"/>
    <tableColumn id="10" xr3:uid="{E53A927D-412F-4EDB-A66D-33C0E8C9695F}" name="Rating" dataDxfId="169"/>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732F-5BF9-4372-B454-086DB0AC2F34}">
  <dimension ref="A3:I27"/>
  <sheetViews>
    <sheetView workbookViewId="0">
      <selection activeCell="K3" sqref="K3:K4"/>
    </sheetView>
  </sheetViews>
  <sheetFormatPr defaultRowHeight="15" x14ac:dyDescent="0.25"/>
  <cols>
    <col min="1" max="1" width="19.7109375" bestFit="1" customWidth="1"/>
    <col min="2" max="2" width="12" bestFit="1" customWidth="1"/>
    <col min="3" max="4" width="8" bestFit="1" customWidth="1"/>
    <col min="5" max="5" width="15.140625" bestFit="1" customWidth="1"/>
    <col min="6" max="6" width="12" bestFit="1" customWidth="1"/>
    <col min="7" max="7" width="8" bestFit="1" customWidth="1"/>
    <col min="8" max="8" width="19.7109375" bestFit="1" customWidth="1"/>
    <col min="9" max="9" width="16.7109375" bestFit="1" customWidth="1"/>
    <col min="10" max="10" width="13.28515625" bestFit="1" customWidth="1"/>
    <col min="11" max="11" width="15.42578125" bestFit="1" customWidth="1"/>
  </cols>
  <sheetData>
    <row r="3" spans="1:9" x14ac:dyDescent="0.25">
      <c r="A3" s="1" t="s">
        <v>42</v>
      </c>
      <c r="B3" t="s">
        <v>44</v>
      </c>
      <c r="E3" s="1" t="s">
        <v>42</v>
      </c>
      <c r="F3" t="s">
        <v>44</v>
      </c>
      <c r="H3" s="1" t="s">
        <v>42</v>
      </c>
      <c r="I3" t="s">
        <v>52</v>
      </c>
    </row>
    <row r="4" spans="1:9" x14ac:dyDescent="0.25">
      <c r="A4" s="2" t="s">
        <v>41</v>
      </c>
      <c r="B4" s="14">
        <v>496.81</v>
      </c>
      <c r="E4" s="2" t="s">
        <v>45</v>
      </c>
      <c r="F4" s="14">
        <v>1191.5999999999999</v>
      </c>
      <c r="H4" s="2" t="s">
        <v>40</v>
      </c>
      <c r="I4" s="14">
        <v>4.4375</v>
      </c>
    </row>
    <row r="5" spans="1:9" x14ac:dyDescent="0.25">
      <c r="A5" s="2" t="s">
        <v>17</v>
      </c>
      <c r="B5" s="14">
        <v>777.51</v>
      </c>
      <c r="E5" s="2" t="s">
        <v>46</v>
      </c>
      <c r="F5" s="14">
        <v>853.56</v>
      </c>
      <c r="H5" s="2" t="s">
        <v>19</v>
      </c>
      <c r="I5" s="14">
        <v>4.2799999999999994</v>
      </c>
    </row>
    <row r="6" spans="1:9" x14ac:dyDescent="0.25">
      <c r="A6" s="2" t="s">
        <v>13</v>
      </c>
      <c r="B6" s="14">
        <v>1012.88</v>
      </c>
      <c r="E6" s="2" t="s">
        <v>47</v>
      </c>
      <c r="F6" s="14">
        <v>1566.66</v>
      </c>
      <c r="H6" s="2" t="s">
        <v>10</v>
      </c>
      <c r="I6" s="14">
        <v>4.2200000000000006</v>
      </c>
    </row>
    <row r="7" spans="1:9" x14ac:dyDescent="0.25">
      <c r="A7" s="2" t="s">
        <v>22</v>
      </c>
      <c r="B7" s="14">
        <v>1045.19</v>
      </c>
      <c r="E7" s="2" t="s">
        <v>48</v>
      </c>
      <c r="F7" s="14">
        <v>1683.54</v>
      </c>
      <c r="H7" s="2" t="s">
        <v>24</v>
      </c>
      <c r="I7" s="14">
        <v>4.2166666666666668</v>
      </c>
    </row>
    <row r="8" spans="1:9" x14ac:dyDescent="0.25">
      <c r="A8" s="2" t="s">
        <v>36</v>
      </c>
      <c r="B8" s="14">
        <v>1074.04</v>
      </c>
      <c r="E8" s="2" t="s">
        <v>49</v>
      </c>
      <c r="F8" s="14">
        <v>711.83</v>
      </c>
      <c r="H8" s="2" t="s">
        <v>33</v>
      </c>
      <c r="I8" s="14">
        <v>4.2</v>
      </c>
    </row>
    <row r="9" spans="1:9" x14ac:dyDescent="0.25">
      <c r="A9" s="2" t="s">
        <v>31</v>
      </c>
      <c r="B9" s="14">
        <v>1081.81</v>
      </c>
      <c r="E9" s="2" t="s">
        <v>50</v>
      </c>
      <c r="F9" s="14">
        <v>740.66</v>
      </c>
      <c r="H9" s="2" t="s">
        <v>26</v>
      </c>
      <c r="I9" s="14">
        <v>4.1727272727272728</v>
      </c>
    </row>
    <row r="10" spans="1:9" x14ac:dyDescent="0.25">
      <c r="A10" s="2" t="s">
        <v>37</v>
      </c>
      <c r="B10" s="14">
        <v>1259.6099999999999</v>
      </c>
      <c r="E10" s="2" t="s">
        <v>43</v>
      </c>
      <c r="F10" s="14">
        <v>6747.85</v>
      </c>
      <c r="H10" s="2" t="s">
        <v>38</v>
      </c>
      <c r="I10" s="14">
        <v>4.0666666666666664</v>
      </c>
    </row>
    <row r="11" spans="1:9" x14ac:dyDescent="0.25">
      <c r="A11" s="2" t="s">
        <v>43</v>
      </c>
      <c r="B11" s="14">
        <v>6747.85</v>
      </c>
      <c r="H11" s="2" t="s">
        <v>15</v>
      </c>
      <c r="I11" s="14">
        <v>3.9624999999999999</v>
      </c>
    </row>
    <row r="12" spans="1:9" x14ac:dyDescent="0.25">
      <c r="H12" s="2" t="s">
        <v>43</v>
      </c>
      <c r="I12" s="14">
        <v>4.2016393442622952</v>
      </c>
    </row>
    <row r="16" spans="1:9" x14ac:dyDescent="0.25">
      <c r="A16" s="1" t="s">
        <v>2</v>
      </c>
      <c r="B16" t="s" vm="1">
        <v>53</v>
      </c>
    </row>
    <row r="18" spans="1:6" x14ac:dyDescent="0.25">
      <c r="A18" s="1" t="s">
        <v>42</v>
      </c>
      <c r="B18" t="s">
        <v>44</v>
      </c>
      <c r="E18" s="1" t="s">
        <v>42</v>
      </c>
      <c r="F18" t="s">
        <v>44</v>
      </c>
    </row>
    <row r="19" spans="1:6" x14ac:dyDescent="0.25">
      <c r="A19" s="2" t="s">
        <v>33</v>
      </c>
      <c r="B19" s="14">
        <v>154.94999999999999</v>
      </c>
      <c r="E19" s="2" t="s">
        <v>20</v>
      </c>
      <c r="F19" s="14">
        <v>4904.55</v>
      </c>
    </row>
    <row r="20" spans="1:6" x14ac:dyDescent="0.25">
      <c r="A20" s="2" t="s">
        <v>38</v>
      </c>
      <c r="B20" s="14">
        <v>351.35</v>
      </c>
      <c r="E20" s="2" t="s">
        <v>27</v>
      </c>
      <c r="F20" s="14">
        <v>5051.28</v>
      </c>
    </row>
    <row r="21" spans="1:6" x14ac:dyDescent="0.25">
      <c r="A21" s="2" t="s">
        <v>19</v>
      </c>
      <c r="B21" s="14">
        <v>578.16999999999996</v>
      </c>
      <c r="E21" s="2" t="s">
        <v>25</v>
      </c>
      <c r="F21" s="14">
        <v>5438.02</v>
      </c>
    </row>
    <row r="22" spans="1:6" x14ac:dyDescent="0.25">
      <c r="A22" s="2" t="s">
        <v>15</v>
      </c>
      <c r="B22" s="14">
        <v>867.31</v>
      </c>
      <c r="E22" s="2" t="s">
        <v>16</v>
      </c>
      <c r="F22" s="14">
        <v>4189.62</v>
      </c>
    </row>
    <row r="23" spans="1:6" x14ac:dyDescent="0.25">
      <c r="A23" s="2" t="s">
        <v>10</v>
      </c>
      <c r="B23" s="14">
        <v>906.67</v>
      </c>
      <c r="E23" s="2" t="s">
        <v>39</v>
      </c>
      <c r="F23" s="14">
        <v>3005.22</v>
      </c>
    </row>
    <row r="24" spans="1:6" x14ac:dyDescent="0.25">
      <c r="A24" s="2" t="s">
        <v>40</v>
      </c>
      <c r="B24" s="14">
        <v>951.59</v>
      </c>
      <c r="E24" s="2" t="s">
        <v>34</v>
      </c>
      <c r="F24" s="14">
        <v>2672.49</v>
      </c>
    </row>
    <row r="25" spans="1:6" x14ac:dyDescent="0.25">
      <c r="A25" s="2" t="s">
        <v>26</v>
      </c>
      <c r="B25" s="14">
        <v>1337.58</v>
      </c>
      <c r="E25" s="2" t="s">
        <v>11</v>
      </c>
      <c r="F25" s="14">
        <v>8756.7099999999991</v>
      </c>
    </row>
    <row r="26" spans="1:6" x14ac:dyDescent="0.25">
      <c r="A26" s="2" t="s">
        <v>24</v>
      </c>
      <c r="B26" s="14">
        <v>1600.23</v>
      </c>
      <c r="E26" s="2" t="s">
        <v>43</v>
      </c>
      <c r="F26" s="14">
        <v>34017.89</v>
      </c>
    </row>
    <row r="27" spans="1:6" x14ac:dyDescent="0.25">
      <c r="A27" s="2" t="s">
        <v>43</v>
      </c>
      <c r="B27" s="14">
        <v>6747.85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DD80-6E34-48A9-9365-B11F0C939868}">
  <dimension ref="A1:N301"/>
  <sheetViews>
    <sheetView zoomScale="90" zoomScaleNormal="90" workbookViewId="0">
      <pane ySplit="1" topLeftCell="A2" activePane="bottomLeft" state="frozen"/>
      <selection pane="bottomLeft" activeCell="E12" sqref="E12"/>
    </sheetView>
  </sheetViews>
  <sheetFormatPr defaultRowHeight="15" x14ac:dyDescent="0.25"/>
  <cols>
    <col min="1" max="1" width="13" style="9" bestFit="1" customWidth="1"/>
    <col min="2" max="2" width="19.7109375" bestFit="1" customWidth="1"/>
    <col min="3" max="3" width="15.140625" bestFit="1" customWidth="1"/>
    <col min="4" max="4" width="11.85546875" bestFit="1" customWidth="1"/>
    <col min="5" max="5" width="11.7109375" bestFit="1" customWidth="1"/>
    <col min="6" max="6" width="7.7109375" bestFit="1" customWidth="1"/>
    <col min="7" max="7" width="11" bestFit="1" customWidth="1"/>
    <col min="8" max="8" width="7.85546875" bestFit="1" customWidth="1"/>
    <col min="9" max="9" width="18.85546875" bestFit="1" customWidth="1"/>
    <col min="10" max="10" width="8.85546875" bestFit="1" customWidth="1"/>
    <col min="13" max="13" width="21.140625" customWidth="1"/>
  </cols>
  <sheetData>
    <row r="1" spans="1:14" x14ac:dyDescent="0.25">
      <c r="A1" s="8" t="s">
        <v>0</v>
      </c>
      <c r="B1" s="4" t="s">
        <v>1</v>
      </c>
      <c r="C1" s="4" t="s">
        <v>2</v>
      </c>
      <c r="D1" s="4" t="s">
        <v>3</v>
      </c>
      <c r="E1" s="4" t="s">
        <v>4</v>
      </c>
      <c r="F1" s="4" t="s">
        <v>5</v>
      </c>
      <c r="G1" s="4" t="s">
        <v>6</v>
      </c>
      <c r="H1" s="4" t="s">
        <v>7</v>
      </c>
      <c r="I1" s="4" t="s">
        <v>8</v>
      </c>
      <c r="J1" s="4" t="s">
        <v>9</v>
      </c>
    </row>
    <row r="2" spans="1:14" ht="15.75" x14ac:dyDescent="0.25">
      <c r="A2" s="10">
        <v>45762</v>
      </c>
      <c r="B2" s="11" t="s">
        <v>10</v>
      </c>
      <c r="C2" s="11" t="s">
        <v>11</v>
      </c>
      <c r="D2" s="11" t="s">
        <v>12</v>
      </c>
      <c r="E2" s="11" t="s">
        <v>13</v>
      </c>
      <c r="F2" s="11">
        <v>33.99</v>
      </c>
      <c r="G2" s="11">
        <v>1</v>
      </c>
      <c r="H2" s="11">
        <v>33.99</v>
      </c>
      <c r="I2" s="11" t="s">
        <v>14</v>
      </c>
      <c r="J2" s="11">
        <v>4.3</v>
      </c>
      <c r="M2" s="3" t="s">
        <v>51</v>
      </c>
      <c r="N2" s="3" t="s">
        <v>9</v>
      </c>
    </row>
    <row r="3" spans="1:14" ht="15.75" x14ac:dyDescent="0.25">
      <c r="A3" s="12">
        <v>45671</v>
      </c>
      <c r="B3" s="13" t="s">
        <v>15</v>
      </c>
      <c r="C3" s="13" t="s">
        <v>16</v>
      </c>
      <c r="D3" s="13" t="s">
        <v>12</v>
      </c>
      <c r="E3" s="13" t="s">
        <v>17</v>
      </c>
      <c r="F3" s="13">
        <v>24.37</v>
      </c>
      <c r="G3" s="13">
        <v>2</v>
      </c>
      <c r="H3" s="13">
        <v>48.74</v>
      </c>
      <c r="I3" s="13" t="s">
        <v>18</v>
      </c>
      <c r="J3" s="13">
        <v>4.5999999999999996</v>
      </c>
      <c r="M3" t="s">
        <v>19</v>
      </c>
      <c r="N3">
        <f>VLOOKUP(M3,B2:J301,9,0)</f>
        <v>3.5</v>
      </c>
    </row>
    <row r="4" spans="1:14" ht="15.75" x14ac:dyDescent="0.25">
      <c r="A4" s="10">
        <v>45680</v>
      </c>
      <c r="B4" s="11" t="s">
        <v>19</v>
      </c>
      <c r="C4" s="11" t="s">
        <v>20</v>
      </c>
      <c r="D4" s="11" t="s">
        <v>21</v>
      </c>
      <c r="E4" s="11" t="s">
        <v>22</v>
      </c>
      <c r="F4" s="11">
        <v>89.08</v>
      </c>
      <c r="G4" s="11">
        <v>2</v>
      </c>
      <c r="H4" s="11">
        <v>178.16</v>
      </c>
      <c r="I4" s="11" t="s">
        <v>23</v>
      </c>
      <c r="J4" s="11">
        <v>3.5</v>
      </c>
    </row>
    <row r="5" spans="1:14" ht="15.75" x14ac:dyDescent="0.25">
      <c r="A5" s="12">
        <v>45681</v>
      </c>
      <c r="B5" s="13" t="s">
        <v>24</v>
      </c>
      <c r="C5" s="13" t="s">
        <v>25</v>
      </c>
      <c r="D5" s="13" t="s">
        <v>21</v>
      </c>
      <c r="E5" s="13" t="s">
        <v>13</v>
      </c>
      <c r="F5" s="13">
        <v>70.040000000000006</v>
      </c>
      <c r="G5" s="13">
        <v>1</v>
      </c>
      <c r="H5" s="13">
        <v>70.040000000000006</v>
      </c>
      <c r="I5" s="13" t="s">
        <v>23</v>
      </c>
      <c r="J5" s="13">
        <v>3.9</v>
      </c>
    </row>
    <row r="6" spans="1:14" ht="15.75" x14ac:dyDescent="0.25">
      <c r="A6" s="10">
        <v>45725</v>
      </c>
      <c r="B6" s="11" t="s">
        <v>26</v>
      </c>
      <c r="C6" s="11" t="s">
        <v>27</v>
      </c>
      <c r="D6" s="11" t="s">
        <v>28</v>
      </c>
      <c r="E6" s="11" t="s">
        <v>22</v>
      </c>
      <c r="F6" s="11">
        <v>52.24</v>
      </c>
      <c r="G6" s="11">
        <v>1</v>
      </c>
      <c r="H6" s="11">
        <v>52.24</v>
      </c>
      <c r="I6" s="11" t="s">
        <v>18</v>
      </c>
      <c r="J6" s="11">
        <v>4</v>
      </c>
    </row>
    <row r="7" spans="1:14" ht="15.75" x14ac:dyDescent="0.25">
      <c r="A7" s="12">
        <v>45813</v>
      </c>
      <c r="B7" s="13" t="s">
        <v>24</v>
      </c>
      <c r="C7" s="13" t="s">
        <v>25</v>
      </c>
      <c r="D7" s="13" t="s">
        <v>29</v>
      </c>
      <c r="E7" s="13" t="s">
        <v>17</v>
      </c>
      <c r="F7" s="13">
        <v>67.489999999999995</v>
      </c>
      <c r="G7" s="13">
        <v>3</v>
      </c>
      <c r="H7" s="13">
        <v>202.47</v>
      </c>
      <c r="I7" s="13" t="s">
        <v>18</v>
      </c>
      <c r="J7" s="13">
        <v>3.5</v>
      </c>
    </row>
    <row r="8" spans="1:14" ht="15.75" x14ac:dyDescent="0.25">
      <c r="A8" s="10">
        <v>45821</v>
      </c>
      <c r="B8" s="11" t="s">
        <v>26</v>
      </c>
      <c r="C8" s="11" t="s">
        <v>27</v>
      </c>
      <c r="D8" s="11" t="s">
        <v>30</v>
      </c>
      <c r="E8" s="11" t="s">
        <v>31</v>
      </c>
      <c r="F8" s="11">
        <v>81.680000000000007</v>
      </c>
      <c r="G8" s="11">
        <v>3</v>
      </c>
      <c r="H8" s="11">
        <v>245.04</v>
      </c>
      <c r="I8" s="11" t="s">
        <v>14</v>
      </c>
      <c r="J8" s="11">
        <v>4.3</v>
      </c>
    </row>
    <row r="9" spans="1:14" ht="15.75" x14ac:dyDescent="0.25">
      <c r="A9" s="12">
        <v>45666</v>
      </c>
      <c r="B9" s="13" t="s">
        <v>26</v>
      </c>
      <c r="C9" s="13" t="s">
        <v>27</v>
      </c>
      <c r="D9" s="13" t="s">
        <v>12</v>
      </c>
      <c r="E9" s="13" t="s">
        <v>31</v>
      </c>
      <c r="F9" s="13">
        <v>86.26</v>
      </c>
      <c r="G9" s="13">
        <v>3</v>
      </c>
      <c r="H9" s="13">
        <v>258.77999999999997</v>
      </c>
      <c r="I9" s="13" t="s">
        <v>32</v>
      </c>
      <c r="J9" s="13">
        <v>4.5999999999999996</v>
      </c>
    </row>
    <row r="10" spans="1:14" ht="15.75" x14ac:dyDescent="0.25">
      <c r="A10" s="10">
        <v>45725</v>
      </c>
      <c r="B10" s="11" t="s">
        <v>33</v>
      </c>
      <c r="C10" s="11" t="s">
        <v>34</v>
      </c>
      <c r="D10" s="11" t="s">
        <v>35</v>
      </c>
      <c r="E10" s="11" t="s">
        <v>36</v>
      </c>
      <c r="F10" s="11">
        <v>25.31</v>
      </c>
      <c r="G10" s="11">
        <v>2</v>
      </c>
      <c r="H10" s="11">
        <v>50.62</v>
      </c>
      <c r="I10" s="11" t="s">
        <v>14</v>
      </c>
      <c r="J10" s="11">
        <v>4.8</v>
      </c>
    </row>
    <row r="11" spans="1:14" ht="15.75" x14ac:dyDescent="0.25">
      <c r="A11" s="12">
        <v>45744</v>
      </c>
      <c r="B11" s="13" t="s">
        <v>24</v>
      </c>
      <c r="C11" s="13" t="s">
        <v>25</v>
      </c>
      <c r="D11" s="13" t="s">
        <v>35</v>
      </c>
      <c r="E11" s="13" t="s">
        <v>31</v>
      </c>
      <c r="F11" s="13">
        <v>11.47</v>
      </c>
      <c r="G11" s="13">
        <v>3</v>
      </c>
      <c r="H11" s="13">
        <v>34.409999999999997</v>
      </c>
      <c r="I11" s="13" t="s">
        <v>23</v>
      </c>
      <c r="J11" s="13">
        <v>4.7</v>
      </c>
    </row>
    <row r="12" spans="1:14" ht="15.75" x14ac:dyDescent="0.25">
      <c r="A12" s="10">
        <v>45716</v>
      </c>
      <c r="B12" s="11" t="s">
        <v>15</v>
      </c>
      <c r="C12" s="11" t="s">
        <v>16</v>
      </c>
      <c r="D12" s="11" t="s">
        <v>21</v>
      </c>
      <c r="E12" s="11" t="s">
        <v>37</v>
      </c>
      <c r="F12" s="11">
        <v>46.51</v>
      </c>
      <c r="G12" s="11">
        <v>3</v>
      </c>
      <c r="H12" s="11">
        <v>139.53</v>
      </c>
      <c r="I12" s="11" t="s">
        <v>23</v>
      </c>
      <c r="J12" s="11">
        <v>4.5</v>
      </c>
    </row>
    <row r="13" spans="1:14" ht="15.75" x14ac:dyDescent="0.25">
      <c r="A13" s="12">
        <v>45717</v>
      </c>
      <c r="B13" s="13" t="s">
        <v>24</v>
      </c>
      <c r="C13" s="13" t="s">
        <v>25</v>
      </c>
      <c r="D13" s="13" t="s">
        <v>30</v>
      </c>
      <c r="E13" s="13" t="s">
        <v>36</v>
      </c>
      <c r="F13" s="13">
        <v>58.98</v>
      </c>
      <c r="G13" s="13">
        <v>1</v>
      </c>
      <c r="H13" s="13">
        <v>58.98</v>
      </c>
      <c r="I13" s="13" t="s">
        <v>32</v>
      </c>
      <c r="J13" s="13">
        <v>5</v>
      </c>
    </row>
    <row r="14" spans="1:14" ht="15.75" x14ac:dyDescent="0.25">
      <c r="A14" s="10">
        <v>45776</v>
      </c>
      <c r="B14" s="11" t="s">
        <v>24</v>
      </c>
      <c r="C14" s="11" t="s">
        <v>25</v>
      </c>
      <c r="D14" s="11" t="s">
        <v>35</v>
      </c>
      <c r="E14" s="11" t="s">
        <v>17</v>
      </c>
      <c r="F14" s="11">
        <v>13.97</v>
      </c>
      <c r="G14" s="11">
        <v>1</v>
      </c>
      <c r="H14" s="11">
        <v>13.97</v>
      </c>
      <c r="I14" s="11" t="s">
        <v>14</v>
      </c>
      <c r="J14" s="11">
        <v>3.8</v>
      </c>
    </row>
    <row r="15" spans="1:14" ht="15.75" x14ac:dyDescent="0.25">
      <c r="A15" s="12">
        <v>45727</v>
      </c>
      <c r="B15" s="13" t="s">
        <v>38</v>
      </c>
      <c r="C15" s="13" t="s">
        <v>39</v>
      </c>
      <c r="D15" s="13" t="s">
        <v>12</v>
      </c>
      <c r="E15" s="13" t="s">
        <v>36</v>
      </c>
      <c r="F15" s="13">
        <v>95.92</v>
      </c>
      <c r="G15" s="13">
        <v>3</v>
      </c>
      <c r="H15" s="13">
        <v>287.76</v>
      </c>
      <c r="I15" s="13" t="s">
        <v>14</v>
      </c>
      <c r="J15" s="13">
        <v>3.5</v>
      </c>
    </row>
    <row r="16" spans="1:14" ht="15.75" x14ac:dyDescent="0.25">
      <c r="A16" s="10">
        <v>45680</v>
      </c>
      <c r="B16" s="11" t="s">
        <v>33</v>
      </c>
      <c r="C16" s="11" t="s">
        <v>34</v>
      </c>
      <c r="D16" s="11" t="s">
        <v>28</v>
      </c>
      <c r="E16" s="11" t="s">
        <v>37</v>
      </c>
      <c r="F16" s="11">
        <v>17.46</v>
      </c>
      <c r="G16" s="11">
        <v>1</v>
      </c>
      <c r="H16" s="11">
        <v>17.46</v>
      </c>
      <c r="I16" s="11" t="s">
        <v>14</v>
      </c>
      <c r="J16" s="11">
        <v>3.6</v>
      </c>
      <c r="M16" s="5" t="s">
        <v>10</v>
      </c>
    </row>
    <row r="17" spans="1:13" ht="15.75" x14ac:dyDescent="0.25">
      <c r="A17" s="12">
        <v>45725</v>
      </c>
      <c r="B17" s="13" t="s">
        <v>26</v>
      </c>
      <c r="C17" s="13" t="s">
        <v>27</v>
      </c>
      <c r="D17" s="13" t="s">
        <v>21</v>
      </c>
      <c r="E17" s="13" t="s">
        <v>37</v>
      </c>
      <c r="F17" s="13">
        <v>96.02</v>
      </c>
      <c r="G17" s="13">
        <v>1</v>
      </c>
      <c r="H17" s="13">
        <v>96.02</v>
      </c>
      <c r="I17" s="13" t="s">
        <v>18</v>
      </c>
      <c r="J17" s="13">
        <v>4.0999999999999996</v>
      </c>
      <c r="M17" s="6" t="s">
        <v>15</v>
      </c>
    </row>
    <row r="18" spans="1:13" ht="15.75" x14ac:dyDescent="0.25">
      <c r="A18" s="10">
        <v>45699</v>
      </c>
      <c r="B18" s="11" t="s">
        <v>10</v>
      </c>
      <c r="C18" s="11" t="s">
        <v>11</v>
      </c>
      <c r="D18" s="11" t="s">
        <v>30</v>
      </c>
      <c r="E18" s="11" t="s">
        <v>36</v>
      </c>
      <c r="F18" s="11">
        <v>89.55</v>
      </c>
      <c r="G18" s="11">
        <v>2</v>
      </c>
      <c r="H18" s="11">
        <v>179.1</v>
      </c>
      <c r="I18" s="11" t="s">
        <v>23</v>
      </c>
      <c r="J18" s="11">
        <v>4.5999999999999996</v>
      </c>
      <c r="M18" s="5" t="s">
        <v>19</v>
      </c>
    </row>
    <row r="19" spans="1:13" ht="15.75" x14ac:dyDescent="0.25">
      <c r="A19" s="12">
        <v>45718</v>
      </c>
      <c r="B19" s="13" t="s">
        <v>19</v>
      </c>
      <c r="C19" s="13" t="s">
        <v>20</v>
      </c>
      <c r="D19" s="13" t="s">
        <v>12</v>
      </c>
      <c r="E19" s="13" t="s">
        <v>36</v>
      </c>
      <c r="F19" s="13">
        <v>76.97</v>
      </c>
      <c r="G19" s="13">
        <v>3</v>
      </c>
      <c r="H19" s="13">
        <v>230.91</v>
      </c>
      <c r="I19" s="13" t="s">
        <v>23</v>
      </c>
      <c r="J19" s="13">
        <v>4.5999999999999996</v>
      </c>
      <c r="M19" s="6" t="s">
        <v>24</v>
      </c>
    </row>
    <row r="20" spans="1:13" ht="15.75" x14ac:dyDescent="0.25">
      <c r="A20" s="10">
        <v>45695</v>
      </c>
      <c r="B20" s="11" t="s">
        <v>26</v>
      </c>
      <c r="C20" s="11" t="s">
        <v>27</v>
      </c>
      <c r="D20" s="11" t="s">
        <v>28</v>
      </c>
      <c r="E20" s="11" t="s">
        <v>37</v>
      </c>
      <c r="F20" s="11">
        <v>92.23</v>
      </c>
      <c r="G20" s="11">
        <v>2</v>
      </c>
      <c r="H20" s="11">
        <v>184.46</v>
      </c>
      <c r="I20" s="11" t="s">
        <v>14</v>
      </c>
      <c r="J20" s="11">
        <v>4.0999999999999996</v>
      </c>
      <c r="M20" s="6" t="s">
        <v>26</v>
      </c>
    </row>
    <row r="21" spans="1:13" ht="15.75" x14ac:dyDescent="0.25">
      <c r="A21" s="12">
        <v>45819</v>
      </c>
      <c r="B21" s="13" t="s">
        <v>15</v>
      </c>
      <c r="C21" s="13" t="s">
        <v>16</v>
      </c>
      <c r="D21" s="13" t="s">
        <v>28</v>
      </c>
      <c r="E21" s="13" t="s">
        <v>13</v>
      </c>
      <c r="F21" s="13">
        <v>25.01</v>
      </c>
      <c r="G21" s="13">
        <v>3</v>
      </c>
      <c r="H21" s="13">
        <v>75.03</v>
      </c>
      <c r="I21" s="13" t="s">
        <v>14</v>
      </c>
      <c r="J21" s="13">
        <v>4.0999999999999996</v>
      </c>
      <c r="M21" s="5" t="s">
        <v>33</v>
      </c>
    </row>
    <row r="22" spans="1:13" ht="15.75" x14ac:dyDescent="0.25">
      <c r="A22" s="10">
        <v>45663</v>
      </c>
      <c r="B22" s="11" t="s">
        <v>19</v>
      </c>
      <c r="C22" s="11" t="s">
        <v>20</v>
      </c>
      <c r="D22" s="11" t="s">
        <v>35</v>
      </c>
      <c r="E22" s="11" t="s">
        <v>36</v>
      </c>
      <c r="F22" s="11">
        <v>41.46</v>
      </c>
      <c r="G22" s="11">
        <v>3</v>
      </c>
      <c r="H22" s="11">
        <v>124.38</v>
      </c>
      <c r="I22" s="11" t="s">
        <v>14</v>
      </c>
      <c r="J22" s="11">
        <v>4</v>
      </c>
      <c r="M22" s="7" t="s">
        <v>38</v>
      </c>
    </row>
    <row r="23" spans="1:13" ht="15.75" x14ac:dyDescent="0.25">
      <c r="A23" s="12">
        <v>45741</v>
      </c>
      <c r="B23" s="13" t="s">
        <v>10</v>
      </c>
      <c r="C23" s="13" t="s">
        <v>11</v>
      </c>
      <c r="D23" s="13" t="s">
        <v>29</v>
      </c>
      <c r="E23" s="13" t="s">
        <v>31</v>
      </c>
      <c r="F23" s="13">
        <v>88.43</v>
      </c>
      <c r="G23" s="13">
        <v>3</v>
      </c>
      <c r="H23" s="13">
        <v>265.29000000000002</v>
      </c>
      <c r="I23" s="13" t="s">
        <v>32</v>
      </c>
      <c r="J23" s="13">
        <v>4</v>
      </c>
      <c r="M23" s="7" t="s">
        <v>40</v>
      </c>
    </row>
    <row r="24" spans="1:13" ht="15.75" x14ac:dyDescent="0.25">
      <c r="A24" s="10">
        <v>45752</v>
      </c>
      <c r="B24" s="11" t="s">
        <v>33</v>
      </c>
      <c r="C24" s="11" t="s">
        <v>34</v>
      </c>
      <c r="D24" s="11" t="s">
        <v>28</v>
      </c>
      <c r="E24" s="11" t="s">
        <v>36</v>
      </c>
      <c r="F24" s="11">
        <v>30.24</v>
      </c>
      <c r="G24" s="11">
        <v>3</v>
      </c>
      <c r="H24" s="11">
        <v>90.72</v>
      </c>
      <c r="I24" s="11" t="s">
        <v>18</v>
      </c>
      <c r="J24" s="11">
        <v>3.6</v>
      </c>
    </row>
    <row r="25" spans="1:13" ht="15.75" x14ac:dyDescent="0.25">
      <c r="A25" s="12">
        <v>45725</v>
      </c>
      <c r="B25" s="13" t="s">
        <v>40</v>
      </c>
      <c r="C25" s="13" t="s">
        <v>11</v>
      </c>
      <c r="D25" s="13" t="s">
        <v>29</v>
      </c>
      <c r="E25" s="13" t="s">
        <v>37</v>
      </c>
      <c r="F25" s="13">
        <v>45.84</v>
      </c>
      <c r="G25" s="13">
        <v>3</v>
      </c>
      <c r="H25" s="13">
        <v>137.52000000000001</v>
      </c>
      <c r="I25" s="13" t="s">
        <v>23</v>
      </c>
      <c r="J25" s="13">
        <v>4.9000000000000004</v>
      </c>
    </row>
    <row r="26" spans="1:13" ht="15.75" x14ac:dyDescent="0.25">
      <c r="A26" s="10">
        <v>45726</v>
      </c>
      <c r="B26" s="11" t="s">
        <v>40</v>
      </c>
      <c r="C26" s="11" t="s">
        <v>11</v>
      </c>
      <c r="D26" s="11" t="s">
        <v>21</v>
      </c>
      <c r="E26" s="11" t="s">
        <v>41</v>
      </c>
      <c r="F26" s="11">
        <v>60.82</v>
      </c>
      <c r="G26" s="11">
        <v>1</v>
      </c>
      <c r="H26" s="11">
        <v>60.82</v>
      </c>
      <c r="I26" s="11" t="s">
        <v>18</v>
      </c>
      <c r="J26" s="11">
        <v>3.6</v>
      </c>
    </row>
    <row r="27" spans="1:13" ht="15.75" x14ac:dyDescent="0.25">
      <c r="A27" s="12">
        <v>45781</v>
      </c>
      <c r="B27" s="13" t="s">
        <v>19</v>
      </c>
      <c r="C27" s="13" t="s">
        <v>20</v>
      </c>
      <c r="D27" s="13" t="s">
        <v>28</v>
      </c>
      <c r="E27" s="13" t="s">
        <v>41</v>
      </c>
      <c r="F27" s="13">
        <v>54.31</v>
      </c>
      <c r="G27" s="13">
        <v>2</v>
      </c>
      <c r="H27" s="13">
        <v>108.62</v>
      </c>
      <c r="I27" s="13" t="s">
        <v>23</v>
      </c>
      <c r="J27" s="13">
        <v>3.9</v>
      </c>
    </row>
    <row r="28" spans="1:13" ht="15.75" x14ac:dyDescent="0.25">
      <c r="A28" s="10">
        <v>45715</v>
      </c>
      <c r="B28" s="11" t="s">
        <v>24</v>
      </c>
      <c r="C28" s="11" t="s">
        <v>25</v>
      </c>
      <c r="D28" s="11" t="s">
        <v>12</v>
      </c>
      <c r="E28" s="11" t="s">
        <v>22</v>
      </c>
      <c r="F28" s="11">
        <v>85.63</v>
      </c>
      <c r="G28" s="11">
        <v>1</v>
      </c>
      <c r="H28" s="11">
        <v>85.63</v>
      </c>
      <c r="I28" s="11" t="s">
        <v>23</v>
      </c>
      <c r="J28" s="11">
        <v>4.8</v>
      </c>
    </row>
    <row r="29" spans="1:13" ht="15.75" x14ac:dyDescent="0.25">
      <c r="A29" s="12">
        <v>45807</v>
      </c>
      <c r="B29" s="13" t="s">
        <v>24</v>
      </c>
      <c r="C29" s="13" t="s">
        <v>25</v>
      </c>
      <c r="D29" s="13" t="s">
        <v>12</v>
      </c>
      <c r="E29" s="13" t="s">
        <v>36</v>
      </c>
      <c r="F29" s="13">
        <v>21.01</v>
      </c>
      <c r="G29" s="13">
        <v>1</v>
      </c>
      <c r="H29" s="13">
        <v>21.01</v>
      </c>
      <c r="I29" s="13" t="s">
        <v>18</v>
      </c>
      <c r="J29" s="13">
        <v>4.8</v>
      </c>
    </row>
    <row r="30" spans="1:13" ht="15.75" x14ac:dyDescent="0.25">
      <c r="A30" s="10">
        <v>45765</v>
      </c>
      <c r="B30" s="11" t="s">
        <v>15</v>
      </c>
      <c r="C30" s="11" t="s">
        <v>16</v>
      </c>
      <c r="D30" s="11" t="s">
        <v>30</v>
      </c>
      <c r="E30" s="11" t="s">
        <v>17</v>
      </c>
      <c r="F30" s="11">
        <v>38.4</v>
      </c>
      <c r="G30" s="11">
        <v>1</v>
      </c>
      <c r="H30" s="11">
        <v>38.4</v>
      </c>
      <c r="I30" s="11" t="s">
        <v>14</v>
      </c>
      <c r="J30" s="11">
        <v>4</v>
      </c>
    </row>
    <row r="31" spans="1:13" ht="15.75" x14ac:dyDescent="0.25">
      <c r="A31" s="12">
        <v>45673</v>
      </c>
      <c r="B31" s="13" t="s">
        <v>40</v>
      </c>
      <c r="C31" s="13" t="s">
        <v>11</v>
      </c>
      <c r="D31" s="13" t="s">
        <v>29</v>
      </c>
      <c r="E31" s="13" t="s">
        <v>22</v>
      </c>
      <c r="F31" s="13">
        <v>85.75</v>
      </c>
      <c r="G31" s="13">
        <v>2</v>
      </c>
      <c r="H31" s="13">
        <v>171.5</v>
      </c>
      <c r="I31" s="13" t="s">
        <v>18</v>
      </c>
      <c r="J31" s="13">
        <v>4.7</v>
      </c>
    </row>
    <row r="32" spans="1:13" ht="15.75" x14ac:dyDescent="0.25">
      <c r="A32" s="10">
        <v>45752</v>
      </c>
      <c r="B32" s="11" t="s">
        <v>19</v>
      </c>
      <c r="C32" s="11" t="s">
        <v>20</v>
      </c>
      <c r="D32" s="11" t="s">
        <v>28</v>
      </c>
      <c r="E32" s="11" t="s">
        <v>22</v>
      </c>
      <c r="F32" s="11">
        <v>16.22</v>
      </c>
      <c r="G32" s="11">
        <v>2</v>
      </c>
      <c r="H32" s="11">
        <v>32.44</v>
      </c>
      <c r="I32" s="11" t="s">
        <v>23</v>
      </c>
      <c r="J32" s="11">
        <v>4.9000000000000004</v>
      </c>
    </row>
    <row r="33" spans="1:10" ht="15.75" x14ac:dyDescent="0.25">
      <c r="A33" s="12">
        <v>45671</v>
      </c>
      <c r="B33" s="13" t="s">
        <v>15</v>
      </c>
      <c r="C33" s="13" t="s">
        <v>16</v>
      </c>
      <c r="D33" s="13" t="s">
        <v>21</v>
      </c>
      <c r="E33" s="13" t="s">
        <v>22</v>
      </c>
      <c r="F33" s="13">
        <v>62.74</v>
      </c>
      <c r="G33" s="13">
        <v>2</v>
      </c>
      <c r="H33" s="13">
        <v>125.48</v>
      </c>
      <c r="I33" s="13" t="s">
        <v>23</v>
      </c>
      <c r="J33" s="13">
        <v>4.2</v>
      </c>
    </row>
    <row r="34" spans="1:10" ht="15.75" x14ac:dyDescent="0.25">
      <c r="A34" s="10">
        <v>45772</v>
      </c>
      <c r="B34" s="11" t="s">
        <v>15</v>
      </c>
      <c r="C34" s="11" t="s">
        <v>16</v>
      </c>
      <c r="D34" s="11" t="s">
        <v>29</v>
      </c>
      <c r="E34" s="11" t="s">
        <v>36</v>
      </c>
      <c r="F34" s="11">
        <v>33.93</v>
      </c>
      <c r="G34" s="11">
        <v>2</v>
      </c>
      <c r="H34" s="11">
        <v>67.86</v>
      </c>
      <c r="I34" s="11" t="s">
        <v>18</v>
      </c>
      <c r="J34" s="11">
        <v>3.9</v>
      </c>
    </row>
    <row r="35" spans="1:10" ht="15.75" x14ac:dyDescent="0.25">
      <c r="A35" s="12">
        <v>45728</v>
      </c>
      <c r="B35" s="13" t="s">
        <v>24</v>
      </c>
      <c r="C35" s="13" t="s">
        <v>25</v>
      </c>
      <c r="D35" s="13" t="s">
        <v>28</v>
      </c>
      <c r="E35" s="13" t="s">
        <v>31</v>
      </c>
      <c r="F35" s="13">
        <v>40.35</v>
      </c>
      <c r="G35" s="13">
        <v>1</v>
      </c>
      <c r="H35" s="13">
        <v>40.35</v>
      </c>
      <c r="I35" s="13" t="s">
        <v>32</v>
      </c>
      <c r="J35" s="13">
        <v>3.7</v>
      </c>
    </row>
    <row r="36" spans="1:10" ht="15.75" x14ac:dyDescent="0.25">
      <c r="A36" s="10">
        <v>45691</v>
      </c>
      <c r="B36" s="11" t="s">
        <v>26</v>
      </c>
      <c r="C36" s="11" t="s">
        <v>27</v>
      </c>
      <c r="D36" s="11" t="s">
        <v>30</v>
      </c>
      <c r="E36" s="11" t="s">
        <v>22</v>
      </c>
      <c r="F36" s="11">
        <v>52.96</v>
      </c>
      <c r="G36" s="11">
        <v>1</v>
      </c>
      <c r="H36" s="11">
        <v>52.96</v>
      </c>
      <c r="I36" s="11" t="s">
        <v>14</v>
      </c>
      <c r="J36" s="11">
        <v>5</v>
      </c>
    </row>
    <row r="37" spans="1:10" ht="15.75" x14ac:dyDescent="0.25">
      <c r="A37" s="12">
        <v>45752</v>
      </c>
      <c r="B37" s="13" t="s">
        <v>19</v>
      </c>
      <c r="C37" s="13" t="s">
        <v>20</v>
      </c>
      <c r="D37" s="13" t="s">
        <v>12</v>
      </c>
      <c r="E37" s="13" t="s">
        <v>17</v>
      </c>
      <c r="F37" s="13">
        <v>90.24</v>
      </c>
      <c r="G37" s="13">
        <v>1</v>
      </c>
      <c r="H37" s="13">
        <v>90.24</v>
      </c>
      <c r="I37" s="13" t="s">
        <v>23</v>
      </c>
      <c r="J37" s="13">
        <v>4.2</v>
      </c>
    </row>
    <row r="38" spans="1:10" ht="15.75" x14ac:dyDescent="0.25">
      <c r="A38" s="10">
        <v>45661</v>
      </c>
      <c r="B38" s="11" t="s">
        <v>38</v>
      </c>
      <c r="C38" s="11" t="s">
        <v>39</v>
      </c>
      <c r="D38" s="11" t="s">
        <v>30</v>
      </c>
      <c r="E38" s="11" t="s">
        <v>31</v>
      </c>
      <c r="F38" s="11">
        <v>38.86</v>
      </c>
      <c r="G38" s="11">
        <v>2</v>
      </c>
      <c r="H38" s="11">
        <v>77.72</v>
      </c>
      <c r="I38" s="11" t="s">
        <v>32</v>
      </c>
      <c r="J38" s="11">
        <v>4.5</v>
      </c>
    </row>
    <row r="39" spans="1:10" ht="15.75" x14ac:dyDescent="0.25">
      <c r="A39" s="12">
        <v>45701</v>
      </c>
      <c r="B39" s="13" t="s">
        <v>33</v>
      </c>
      <c r="C39" s="13" t="s">
        <v>34</v>
      </c>
      <c r="D39" s="13" t="s">
        <v>12</v>
      </c>
      <c r="E39" s="13" t="s">
        <v>37</v>
      </c>
      <c r="F39" s="13">
        <v>99.59</v>
      </c>
      <c r="G39" s="13">
        <v>2</v>
      </c>
      <c r="H39" s="13">
        <v>199.18</v>
      </c>
      <c r="I39" s="13" t="s">
        <v>14</v>
      </c>
      <c r="J39" s="13">
        <v>3.6</v>
      </c>
    </row>
    <row r="40" spans="1:10" ht="15.75" x14ac:dyDescent="0.25">
      <c r="A40" s="10">
        <v>45700</v>
      </c>
      <c r="B40" s="11" t="s">
        <v>10</v>
      </c>
      <c r="C40" s="11" t="s">
        <v>11</v>
      </c>
      <c r="D40" s="11" t="s">
        <v>35</v>
      </c>
      <c r="E40" s="11" t="s">
        <v>36</v>
      </c>
      <c r="F40" s="11">
        <v>27.84</v>
      </c>
      <c r="G40" s="11">
        <v>2</v>
      </c>
      <c r="H40" s="11">
        <v>55.68</v>
      </c>
      <c r="I40" s="11" t="s">
        <v>32</v>
      </c>
      <c r="J40" s="11">
        <v>4.5999999999999996</v>
      </c>
    </row>
    <row r="41" spans="1:10" ht="15.75" x14ac:dyDescent="0.25">
      <c r="A41" s="12">
        <v>45777</v>
      </c>
      <c r="B41" s="13" t="s">
        <v>40</v>
      </c>
      <c r="C41" s="13" t="s">
        <v>11</v>
      </c>
      <c r="D41" s="13" t="s">
        <v>12</v>
      </c>
      <c r="E41" s="13" t="s">
        <v>22</v>
      </c>
      <c r="F41" s="13">
        <v>30.17</v>
      </c>
      <c r="G41" s="13">
        <v>3</v>
      </c>
      <c r="H41" s="13">
        <v>90.51</v>
      </c>
      <c r="I41" s="13" t="s">
        <v>23</v>
      </c>
      <c r="J41" s="13">
        <v>3.7</v>
      </c>
    </row>
    <row r="42" spans="1:10" ht="15.75" x14ac:dyDescent="0.25">
      <c r="A42" s="10">
        <v>45675</v>
      </c>
      <c r="B42" s="11" t="s">
        <v>38</v>
      </c>
      <c r="C42" s="11" t="s">
        <v>39</v>
      </c>
      <c r="D42" s="11" t="s">
        <v>29</v>
      </c>
      <c r="E42" s="11" t="s">
        <v>31</v>
      </c>
      <c r="F42" s="11">
        <v>67.19</v>
      </c>
      <c r="G42" s="11">
        <v>2</v>
      </c>
      <c r="H42" s="11">
        <v>134.38</v>
      </c>
      <c r="I42" s="11" t="s">
        <v>14</v>
      </c>
      <c r="J42" s="11">
        <v>4.7</v>
      </c>
    </row>
    <row r="43" spans="1:10" ht="15.75" x14ac:dyDescent="0.25">
      <c r="A43" s="12">
        <v>45803</v>
      </c>
      <c r="B43" s="13" t="s">
        <v>24</v>
      </c>
      <c r="C43" s="13" t="s">
        <v>25</v>
      </c>
      <c r="D43" s="13" t="s">
        <v>21</v>
      </c>
      <c r="E43" s="13" t="s">
        <v>13</v>
      </c>
      <c r="F43" s="13">
        <v>48.94</v>
      </c>
      <c r="G43" s="13">
        <v>3</v>
      </c>
      <c r="H43" s="13">
        <v>146.82</v>
      </c>
      <c r="I43" s="13" t="s">
        <v>14</v>
      </c>
      <c r="J43" s="13">
        <v>4.3</v>
      </c>
    </row>
    <row r="44" spans="1:10" ht="15.75" x14ac:dyDescent="0.25">
      <c r="A44" s="10">
        <v>45707</v>
      </c>
      <c r="B44" s="11" t="s">
        <v>19</v>
      </c>
      <c r="C44" s="11" t="s">
        <v>20</v>
      </c>
      <c r="D44" s="11" t="s">
        <v>35</v>
      </c>
      <c r="E44" s="11" t="s">
        <v>41</v>
      </c>
      <c r="F44" s="11">
        <v>93.66</v>
      </c>
      <c r="G44" s="11">
        <v>1</v>
      </c>
      <c r="H44" s="11">
        <v>93.66</v>
      </c>
      <c r="I44" s="11" t="s">
        <v>23</v>
      </c>
      <c r="J44" s="11">
        <v>3.9</v>
      </c>
    </row>
    <row r="45" spans="1:10" ht="15.75" x14ac:dyDescent="0.25">
      <c r="A45" s="12">
        <v>45664</v>
      </c>
      <c r="B45" s="13" t="s">
        <v>40</v>
      </c>
      <c r="C45" s="13" t="s">
        <v>11</v>
      </c>
      <c r="D45" s="13" t="s">
        <v>21</v>
      </c>
      <c r="E45" s="13" t="s">
        <v>22</v>
      </c>
      <c r="F45" s="13">
        <v>10.99</v>
      </c>
      <c r="G45" s="13">
        <v>3</v>
      </c>
      <c r="H45" s="13">
        <v>32.97</v>
      </c>
      <c r="I45" s="13" t="s">
        <v>18</v>
      </c>
      <c r="J45" s="13">
        <v>4.3</v>
      </c>
    </row>
    <row r="46" spans="1:10" ht="15.75" x14ac:dyDescent="0.25">
      <c r="A46" s="10">
        <v>45769</v>
      </c>
      <c r="B46" s="11" t="s">
        <v>10</v>
      </c>
      <c r="C46" s="11" t="s">
        <v>11</v>
      </c>
      <c r="D46" s="11" t="s">
        <v>29</v>
      </c>
      <c r="E46" s="11" t="s">
        <v>36</v>
      </c>
      <c r="F46" s="11">
        <v>72.89</v>
      </c>
      <c r="G46" s="11">
        <v>1</v>
      </c>
      <c r="H46" s="11">
        <v>72.89</v>
      </c>
      <c r="I46" s="11" t="s">
        <v>18</v>
      </c>
      <c r="J46" s="11">
        <v>3.7</v>
      </c>
    </row>
    <row r="47" spans="1:10" ht="15.75" x14ac:dyDescent="0.25">
      <c r="A47" s="12">
        <v>45664</v>
      </c>
      <c r="B47" s="13" t="s">
        <v>15</v>
      </c>
      <c r="C47" s="13" t="s">
        <v>16</v>
      </c>
      <c r="D47" s="13" t="s">
        <v>29</v>
      </c>
      <c r="E47" s="13" t="s">
        <v>31</v>
      </c>
      <c r="F47" s="13">
        <v>77.38</v>
      </c>
      <c r="G47" s="13">
        <v>1</v>
      </c>
      <c r="H47" s="13">
        <v>77.38</v>
      </c>
      <c r="I47" s="13" t="s">
        <v>14</v>
      </c>
      <c r="J47" s="13">
        <v>3.8</v>
      </c>
    </row>
    <row r="48" spans="1:10" ht="15.75" x14ac:dyDescent="0.25">
      <c r="A48" s="10">
        <v>45769</v>
      </c>
      <c r="B48" s="11" t="s">
        <v>40</v>
      </c>
      <c r="C48" s="11" t="s">
        <v>11</v>
      </c>
      <c r="D48" s="11" t="s">
        <v>28</v>
      </c>
      <c r="E48" s="11" t="s">
        <v>36</v>
      </c>
      <c r="F48" s="11">
        <v>45.16</v>
      </c>
      <c r="G48" s="11">
        <v>1</v>
      </c>
      <c r="H48" s="11">
        <v>45.16</v>
      </c>
      <c r="I48" s="11" t="s">
        <v>14</v>
      </c>
      <c r="J48" s="11">
        <v>3.6</v>
      </c>
    </row>
    <row r="49" spans="1:10" ht="15.75" x14ac:dyDescent="0.25">
      <c r="A49" s="12">
        <v>45693</v>
      </c>
      <c r="B49" s="13" t="s">
        <v>24</v>
      </c>
      <c r="C49" s="13" t="s">
        <v>25</v>
      </c>
      <c r="D49" s="13" t="s">
        <v>21</v>
      </c>
      <c r="E49" s="13" t="s">
        <v>37</v>
      </c>
      <c r="F49" s="13">
        <v>52.81</v>
      </c>
      <c r="G49" s="13">
        <v>3</v>
      </c>
      <c r="H49" s="13">
        <v>158.43</v>
      </c>
      <c r="I49" s="13" t="s">
        <v>23</v>
      </c>
      <c r="J49" s="13">
        <v>3.7</v>
      </c>
    </row>
    <row r="50" spans="1:10" ht="15.75" x14ac:dyDescent="0.25">
      <c r="A50" s="10">
        <v>45815</v>
      </c>
      <c r="B50" s="11" t="s">
        <v>24</v>
      </c>
      <c r="C50" s="11" t="s">
        <v>25</v>
      </c>
      <c r="D50" s="11" t="s">
        <v>12</v>
      </c>
      <c r="E50" s="11" t="s">
        <v>31</v>
      </c>
      <c r="F50" s="11">
        <v>11.57</v>
      </c>
      <c r="G50" s="11">
        <v>3</v>
      </c>
      <c r="H50" s="11">
        <v>34.71</v>
      </c>
      <c r="I50" s="11" t="s">
        <v>18</v>
      </c>
      <c r="J50" s="11">
        <v>3.9</v>
      </c>
    </row>
    <row r="51" spans="1:10" ht="15.75" x14ac:dyDescent="0.25">
      <c r="A51" s="12">
        <v>45685</v>
      </c>
      <c r="B51" s="13" t="s">
        <v>40</v>
      </c>
      <c r="C51" s="13" t="s">
        <v>11</v>
      </c>
      <c r="D51" s="13" t="s">
        <v>35</v>
      </c>
      <c r="E51" s="13" t="s">
        <v>13</v>
      </c>
      <c r="F51" s="13">
        <v>55.77</v>
      </c>
      <c r="G51" s="13">
        <v>1</v>
      </c>
      <c r="H51" s="13">
        <v>55.77</v>
      </c>
      <c r="I51" s="13" t="s">
        <v>18</v>
      </c>
      <c r="J51" s="13">
        <v>4.5999999999999996</v>
      </c>
    </row>
    <row r="52" spans="1:10" ht="15.75" x14ac:dyDescent="0.25">
      <c r="A52" s="10">
        <v>45765</v>
      </c>
      <c r="B52" s="11" t="s">
        <v>40</v>
      </c>
      <c r="C52" s="11" t="s">
        <v>11</v>
      </c>
      <c r="D52" s="11" t="s">
        <v>35</v>
      </c>
      <c r="E52" s="11" t="s">
        <v>41</v>
      </c>
      <c r="F52" s="11">
        <v>21.35</v>
      </c>
      <c r="G52" s="11">
        <v>2</v>
      </c>
      <c r="H52" s="11">
        <v>42.7</v>
      </c>
      <c r="I52" s="11" t="s">
        <v>32</v>
      </c>
      <c r="J52" s="11">
        <v>4.8</v>
      </c>
    </row>
    <row r="53" spans="1:10" ht="15.75" x14ac:dyDescent="0.25">
      <c r="A53" s="12">
        <v>45680</v>
      </c>
      <c r="B53" s="13" t="s">
        <v>10</v>
      </c>
      <c r="C53" s="13" t="s">
        <v>11</v>
      </c>
      <c r="D53" s="13" t="s">
        <v>29</v>
      </c>
      <c r="E53" s="13" t="s">
        <v>17</v>
      </c>
      <c r="F53" s="13">
        <v>39.79</v>
      </c>
      <c r="G53" s="13">
        <v>1</v>
      </c>
      <c r="H53" s="13">
        <v>39.79</v>
      </c>
      <c r="I53" s="13" t="s">
        <v>32</v>
      </c>
      <c r="J53" s="13">
        <v>3.8</v>
      </c>
    </row>
    <row r="54" spans="1:10" ht="15.75" x14ac:dyDescent="0.25">
      <c r="A54" s="10">
        <v>45761</v>
      </c>
      <c r="B54" s="11" t="s">
        <v>26</v>
      </c>
      <c r="C54" s="11" t="s">
        <v>27</v>
      </c>
      <c r="D54" s="11" t="s">
        <v>29</v>
      </c>
      <c r="E54" s="11" t="s">
        <v>36</v>
      </c>
      <c r="F54" s="11">
        <v>15.37</v>
      </c>
      <c r="G54" s="11">
        <v>1</v>
      </c>
      <c r="H54" s="11">
        <v>15.37</v>
      </c>
      <c r="I54" s="11" t="s">
        <v>23</v>
      </c>
      <c r="J54" s="11">
        <v>4.2</v>
      </c>
    </row>
    <row r="55" spans="1:10" ht="15.75" x14ac:dyDescent="0.25">
      <c r="A55" s="12">
        <v>45668</v>
      </c>
      <c r="B55" s="13" t="s">
        <v>33</v>
      </c>
      <c r="C55" s="13" t="s">
        <v>34</v>
      </c>
      <c r="D55" s="13" t="s">
        <v>29</v>
      </c>
      <c r="E55" s="13" t="s">
        <v>36</v>
      </c>
      <c r="F55" s="13">
        <v>42.3</v>
      </c>
      <c r="G55" s="13">
        <v>1</v>
      </c>
      <c r="H55" s="13">
        <v>42.3</v>
      </c>
      <c r="I55" s="13" t="s">
        <v>32</v>
      </c>
      <c r="J55" s="13">
        <v>3.9</v>
      </c>
    </row>
    <row r="56" spans="1:10" ht="15.75" x14ac:dyDescent="0.25">
      <c r="A56" s="10">
        <v>45694</v>
      </c>
      <c r="B56" s="11" t="s">
        <v>26</v>
      </c>
      <c r="C56" s="11" t="s">
        <v>27</v>
      </c>
      <c r="D56" s="11" t="s">
        <v>12</v>
      </c>
      <c r="E56" s="11" t="s">
        <v>36</v>
      </c>
      <c r="F56" s="11">
        <v>18.05</v>
      </c>
      <c r="G56" s="11">
        <v>1</v>
      </c>
      <c r="H56" s="11">
        <v>18.05</v>
      </c>
      <c r="I56" s="11" t="s">
        <v>18</v>
      </c>
      <c r="J56" s="11">
        <v>4</v>
      </c>
    </row>
    <row r="57" spans="1:10" ht="15.75" x14ac:dyDescent="0.25">
      <c r="A57" s="12">
        <v>45716</v>
      </c>
      <c r="B57" s="13" t="s">
        <v>26</v>
      </c>
      <c r="C57" s="13" t="s">
        <v>27</v>
      </c>
      <c r="D57" s="13" t="s">
        <v>12</v>
      </c>
      <c r="E57" s="13" t="s">
        <v>17</v>
      </c>
      <c r="F57" s="13">
        <v>83.32</v>
      </c>
      <c r="G57" s="13">
        <v>1</v>
      </c>
      <c r="H57" s="13">
        <v>83.32</v>
      </c>
      <c r="I57" s="13" t="s">
        <v>23</v>
      </c>
      <c r="J57" s="13">
        <v>3.7</v>
      </c>
    </row>
    <row r="58" spans="1:10" ht="15.75" x14ac:dyDescent="0.25">
      <c r="A58" s="10">
        <v>45690</v>
      </c>
      <c r="B58" s="11" t="s">
        <v>40</v>
      </c>
      <c r="C58" s="11" t="s">
        <v>11</v>
      </c>
      <c r="D58" s="11" t="s">
        <v>12</v>
      </c>
      <c r="E58" s="11" t="s">
        <v>41</v>
      </c>
      <c r="F58" s="11">
        <v>60.16</v>
      </c>
      <c r="G58" s="11">
        <v>1</v>
      </c>
      <c r="H58" s="11">
        <v>60.16</v>
      </c>
      <c r="I58" s="11" t="s">
        <v>18</v>
      </c>
      <c r="J58" s="11">
        <v>4.9000000000000004</v>
      </c>
    </row>
    <row r="59" spans="1:10" ht="15.75" x14ac:dyDescent="0.25">
      <c r="A59" s="12">
        <v>45691</v>
      </c>
      <c r="B59" s="13" t="s">
        <v>15</v>
      </c>
      <c r="C59" s="13" t="s">
        <v>16</v>
      </c>
      <c r="D59" s="13" t="s">
        <v>12</v>
      </c>
      <c r="E59" s="13" t="s">
        <v>36</v>
      </c>
      <c r="F59" s="13">
        <v>86.19</v>
      </c>
      <c r="G59" s="13">
        <v>1</v>
      </c>
      <c r="H59" s="13">
        <v>86.19</v>
      </c>
      <c r="I59" s="13" t="s">
        <v>18</v>
      </c>
      <c r="J59" s="13">
        <v>4</v>
      </c>
    </row>
    <row r="60" spans="1:10" ht="15.75" x14ac:dyDescent="0.25">
      <c r="A60" s="10">
        <v>45658</v>
      </c>
      <c r="B60" s="11" t="s">
        <v>10</v>
      </c>
      <c r="C60" s="11" t="s">
        <v>11</v>
      </c>
      <c r="D60" s="11" t="s">
        <v>12</v>
      </c>
      <c r="E60" s="11" t="s">
        <v>31</v>
      </c>
      <c r="F60" s="11">
        <v>68.19</v>
      </c>
      <c r="G60" s="11">
        <v>1</v>
      </c>
      <c r="H60" s="11">
        <v>68.19</v>
      </c>
      <c r="I60" s="11" t="s">
        <v>14</v>
      </c>
      <c r="J60" s="11">
        <v>4.5999999999999996</v>
      </c>
    </row>
    <row r="61" spans="1:10" ht="15.75" x14ac:dyDescent="0.25">
      <c r="A61" s="12">
        <v>45684</v>
      </c>
      <c r="B61" s="13" t="s">
        <v>15</v>
      </c>
      <c r="C61" s="13" t="s">
        <v>16</v>
      </c>
      <c r="D61" s="13" t="s">
        <v>35</v>
      </c>
      <c r="E61" s="13" t="s">
        <v>17</v>
      </c>
      <c r="F61" s="13">
        <v>76.010000000000005</v>
      </c>
      <c r="G61" s="13">
        <v>3</v>
      </c>
      <c r="H61" s="13">
        <v>228.03</v>
      </c>
      <c r="I61" s="13" t="s">
        <v>32</v>
      </c>
      <c r="J61" s="13">
        <v>4.0999999999999996</v>
      </c>
    </row>
    <row r="62" spans="1:10" ht="15.75" x14ac:dyDescent="0.25">
      <c r="A62" s="10">
        <v>45749</v>
      </c>
      <c r="B62" s="11" t="s">
        <v>33</v>
      </c>
      <c r="C62" s="11" t="s">
        <v>34</v>
      </c>
      <c r="D62" s="11" t="s">
        <v>29</v>
      </c>
      <c r="E62" s="11" t="s">
        <v>41</v>
      </c>
      <c r="F62" s="11">
        <v>48.46</v>
      </c>
      <c r="G62" s="11">
        <v>2</v>
      </c>
      <c r="H62" s="11">
        <v>96.92</v>
      </c>
      <c r="I62" s="11" t="s">
        <v>18</v>
      </c>
      <c r="J62" s="11">
        <v>4.5</v>
      </c>
    </row>
    <row r="63" spans="1:10" ht="15.75" x14ac:dyDescent="0.25">
      <c r="A63" s="12">
        <v>45724</v>
      </c>
      <c r="B63" s="13" t="s">
        <v>19</v>
      </c>
      <c r="C63" s="13" t="s">
        <v>20</v>
      </c>
      <c r="D63" s="13" t="s">
        <v>35</v>
      </c>
      <c r="E63" s="13" t="s">
        <v>13</v>
      </c>
      <c r="F63" s="13">
        <v>75.58</v>
      </c>
      <c r="G63" s="13">
        <v>3</v>
      </c>
      <c r="H63" s="13">
        <v>226.74</v>
      </c>
      <c r="I63" s="13" t="s">
        <v>32</v>
      </c>
      <c r="J63" s="13">
        <v>4.7</v>
      </c>
    </row>
    <row r="64" spans="1:10" ht="15.75" x14ac:dyDescent="0.25">
      <c r="A64" s="10">
        <v>45692</v>
      </c>
      <c r="B64" s="11" t="s">
        <v>15</v>
      </c>
      <c r="C64" s="11" t="s">
        <v>16</v>
      </c>
      <c r="D64" s="11" t="s">
        <v>29</v>
      </c>
      <c r="E64" s="11" t="s">
        <v>13</v>
      </c>
      <c r="F64" s="11">
        <v>99.99</v>
      </c>
      <c r="G64" s="11">
        <v>3</v>
      </c>
      <c r="H64" s="11">
        <v>299.97000000000003</v>
      </c>
      <c r="I64" s="11" t="s">
        <v>23</v>
      </c>
      <c r="J64" s="11">
        <v>3.9</v>
      </c>
    </row>
    <row r="65" spans="1:10" ht="15.75" x14ac:dyDescent="0.25">
      <c r="A65" s="12">
        <v>45723</v>
      </c>
      <c r="B65" s="13" t="s">
        <v>33</v>
      </c>
      <c r="C65" s="13" t="s">
        <v>34</v>
      </c>
      <c r="D65" s="13" t="s">
        <v>12</v>
      </c>
      <c r="E65" s="13" t="s">
        <v>13</v>
      </c>
      <c r="F65" s="13">
        <v>42.5</v>
      </c>
      <c r="G65" s="13">
        <v>2</v>
      </c>
      <c r="H65" s="13">
        <v>85</v>
      </c>
      <c r="I65" s="13" t="s">
        <v>14</v>
      </c>
      <c r="J65" s="13">
        <v>3.6</v>
      </c>
    </row>
    <row r="66" spans="1:10" ht="15.75" x14ac:dyDescent="0.25">
      <c r="A66" s="10">
        <v>45799</v>
      </c>
      <c r="B66" s="11" t="s">
        <v>38</v>
      </c>
      <c r="C66" s="11" t="s">
        <v>39</v>
      </c>
      <c r="D66" s="11" t="s">
        <v>28</v>
      </c>
      <c r="E66" s="11" t="s">
        <v>17</v>
      </c>
      <c r="F66" s="11">
        <v>87.77</v>
      </c>
      <c r="G66" s="11">
        <v>3</v>
      </c>
      <c r="H66" s="11">
        <v>263.31</v>
      </c>
      <c r="I66" s="11" t="s">
        <v>23</v>
      </c>
      <c r="J66" s="11">
        <v>5</v>
      </c>
    </row>
    <row r="67" spans="1:10" ht="15.75" x14ac:dyDescent="0.25">
      <c r="A67" s="12">
        <v>45821</v>
      </c>
      <c r="B67" s="13" t="s">
        <v>15</v>
      </c>
      <c r="C67" s="13" t="s">
        <v>16</v>
      </c>
      <c r="D67" s="13" t="s">
        <v>12</v>
      </c>
      <c r="E67" s="13" t="s">
        <v>17</v>
      </c>
      <c r="F67" s="13">
        <v>87.98</v>
      </c>
      <c r="G67" s="13">
        <v>3</v>
      </c>
      <c r="H67" s="13">
        <v>263.94</v>
      </c>
      <c r="I67" s="13" t="s">
        <v>18</v>
      </c>
      <c r="J67" s="13">
        <v>4.2</v>
      </c>
    </row>
    <row r="68" spans="1:10" ht="15.75" x14ac:dyDescent="0.25">
      <c r="A68" s="10">
        <v>45686</v>
      </c>
      <c r="B68" s="11" t="s">
        <v>40</v>
      </c>
      <c r="C68" s="11" t="s">
        <v>11</v>
      </c>
      <c r="D68" s="11" t="s">
        <v>21</v>
      </c>
      <c r="E68" s="11" t="s">
        <v>13</v>
      </c>
      <c r="F68" s="11">
        <v>65.739999999999995</v>
      </c>
      <c r="G68" s="11">
        <v>2</v>
      </c>
      <c r="H68" s="11">
        <v>131.47999999999999</v>
      </c>
      <c r="I68" s="11" t="s">
        <v>14</v>
      </c>
      <c r="J68" s="11">
        <v>4.7</v>
      </c>
    </row>
    <row r="69" spans="1:10" ht="15.75" x14ac:dyDescent="0.25">
      <c r="A69" s="12">
        <v>45691</v>
      </c>
      <c r="B69" s="13" t="s">
        <v>15</v>
      </c>
      <c r="C69" s="13" t="s">
        <v>16</v>
      </c>
      <c r="D69" s="13" t="s">
        <v>30</v>
      </c>
      <c r="E69" s="13" t="s">
        <v>41</v>
      </c>
      <c r="F69" s="13">
        <v>44.87</v>
      </c>
      <c r="G69" s="13">
        <v>2</v>
      </c>
      <c r="H69" s="13">
        <v>89.74</v>
      </c>
      <c r="I69" s="13" t="s">
        <v>32</v>
      </c>
      <c r="J69" s="13">
        <v>3.9</v>
      </c>
    </row>
    <row r="70" spans="1:10" ht="15.75" x14ac:dyDescent="0.25">
      <c r="A70" s="10">
        <v>45679</v>
      </c>
      <c r="B70" s="11" t="s">
        <v>10</v>
      </c>
      <c r="C70" s="11" t="s">
        <v>11</v>
      </c>
      <c r="D70" s="11" t="s">
        <v>35</v>
      </c>
      <c r="E70" s="11" t="s">
        <v>41</v>
      </c>
      <c r="F70" s="11">
        <v>25.72</v>
      </c>
      <c r="G70" s="11">
        <v>2</v>
      </c>
      <c r="H70" s="11">
        <v>51.44</v>
      </c>
      <c r="I70" s="11" t="s">
        <v>14</v>
      </c>
      <c r="J70" s="11">
        <v>3.8</v>
      </c>
    </row>
    <row r="71" spans="1:10" ht="15.75" x14ac:dyDescent="0.25">
      <c r="A71" s="12">
        <v>45664</v>
      </c>
      <c r="B71" s="13" t="s">
        <v>26</v>
      </c>
      <c r="C71" s="13" t="s">
        <v>27</v>
      </c>
      <c r="D71" s="13" t="s">
        <v>12</v>
      </c>
      <c r="E71" s="13" t="s">
        <v>13</v>
      </c>
      <c r="F71" s="13">
        <v>20.98</v>
      </c>
      <c r="G71" s="13">
        <v>3</v>
      </c>
      <c r="H71" s="13">
        <v>62.94</v>
      </c>
      <c r="I71" s="13" t="s">
        <v>14</v>
      </c>
      <c r="J71" s="13">
        <v>3.9</v>
      </c>
    </row>
    <row r="72" spans="1:10" ht="15.75" x14ac:dyDescent="0.25">
      <c r="A72" s="10">
        <v>45797</v>
      </c>
      <c r="B72" s="11" t="s">
        <v>10</v>
      </c>
      <c r="C72" s="11" t="s">
        <v>11</v>
      </c>
      <c r="D72" s="11" t="s">
        <v>30</v>
      </c>
      <c r="E72" s="11" t="s">
        <v>36</v>
      </c>
      <c r="F72" s="11">
        <v>74.290000000000006</v>
      </c>
      <c r="G72" s="11">
        <v>2</v>
      </c>
      <c r="H72" s="11">
        <v>148.58000000000001</v>
      </c>
      <c r="I72" s="11" t="s">
        <v>18</v>
      </c>
      <c r="J72" s="11">
        <v>4.4000000000000004</v>
      </c>
    </row>
    <row r="73" spans="1:10" ht="15.75" x14ac:dyDescent="0.25">
      <c r="A73" s="12">
        <v>45695</v>
      </c>
      <c r="B73" s="13" t="s">
        <v>15</v>
      </c>
      <c r="C73" s="13" t="s">
        <v>16</v>
      </c>
      <c r="D73" s="13" t="s">
        <v>21</v>
      </c>
      <c r="E73" s="13" t="s">
        <v>36</v>
      </c>
      <c r="F73" s="13">
        <v>37.729999999999997</v>
      </c>
      <c r="G73" s="13">
        <v>1</v>
      </c>
      <c r="H73" s="13">
        <v>37.729999999999997</v>
      </c>
      <c r="I73" s="13" t="s">
        <v>14</v>
      </c>
      <c r="J73" s="13">
        <v>3.8</v>
      </c>
    </row>
    <row r="74" spans="1:10" ht="15.75" x14ac:dyDescent="0.25">
      <c r="A74" s="10">
        <v>45697</v>
      </c>
      <c r="B74" s="11" t="s">
        <v>10</v>
      </c>
      <c r="C74" s="11" t="s">
        <v>11</v>
      </c>
      <c r="D74" s="11" t="s">
        <v>35</v>
      </c>
      <c r="E74" s="11" t="s">
        <v>13</v>
      </c>
      <c r="F74" s="11">
        <v>25.31</v>
      </c>
      <c r="G74" s="11">
        <v>1</v>
      </c>
      <c r="H74" s="11">
        <v>25.31</v>
      </c>
      <c r="I74" s="11" t="s">
        <v>32</v>
      </c>
      <c r="J74" s="11">
        <v>4.8</v>
      </c>
    </row>
    <row r="75" spans="1:10" ht="15.75" x14ac:dyDescent="0.25">
      <c r="A75" s="12">
        <v>45706</v>
      </c>
      <c r="B75" s="13" t="s">
        <v>33</v>
      </c>
      <c r="C75" s="13" t="s">
        <v>34</v>
      </c>
      <c r="D75" s="13" t="s">
        <v>35</v>
      </c>
      <c r="E75" s="13" t="s">
        <v>31</v>
      </c>
      <c r="F75" s="13">
        <v>46.06</v>
      </c>
      <c r="G75" s="13">
        <v>3</v>
      </c>
      <c r="H75" s="13">
        <v>138.18</v>
      </c>
      <c r="I75" s="13" t="s">
        <v>14</v>
      </c>
      <c r="J75" s="13">
        <v>4.5999999999999996</v>
      </c>
    </row>
    <row r="76" spans="1:10" ht="15.75" x14ac:dyDescent="0.25">
      <c r="A76" s="10">
        <v>45713</v>
      </c>
      <c r="B76" s="11" t="s">
        <v>15</v>
      </c>
      <c r="C76" s="11" t="s">
        <v>16</v>
      </c>
      <c r="D76" s="11" t="s">
        <v>21</v>
      </c>
      <c r="E76" s="11" t="s">
        <v>17</v>
      </c>
      <c r="F76" s="11">
        <v>18.07</v>
      </c>
      <c r="G76" s="11">
        <v>1</v>
      </c>
      <c r="H76" s="11">
        <v>18.07</v>
      </c>
      <c r="I76" s="11" t="s">
        <v>18</v>
      </c>
      <c r="J76" s="11">
        <v>4.5999999999999996</v>
      </c>
    </row>
    <row r="77" spans="1:10" ht="15.75" x14ac:dyDescent="0.25">
      <c r="A77" s="12">
        <v>45697</v>
      </c>
      <c r="B77" s="13" t="s">
        <v>40</v>
      </c>
      <c r="C77" s="13" t="s">
        <v>11</v>
      </c>
      <c r="D77" s="13" t="s">
        <v>30</v>
      </c>
      <c r="E77" s="13" t="s">
        <v>13</v>
      </c>
      <c r="F77" s="13">
        <v>86.98</v>
      </c>
      <c r="G77" s="13">
        <v>3</v>
      </c>
      <c r="H77" s="13">
        <v>260.94</v>
      </c>
      <c r="I77" s="13" t="s">
        <v>23</v>
      </c>
      <c r="J77" s="13">
        <v>5</v>
      </c>
    </row>
    <row r="78" spans="1:10" ht="15.75" x14ac:dyDescent="0.25">
      <c r="A78" s="10">
        <v>45778</v>
      </c>
      <c r="B78" s="11" t="s">
        <v>10</v>
      </c>
      <c r="C78" s="11" t="s">
        <v>11</v>
      </c>
      <c r="D78" s="11" t="s">
        <v>35</v>
      </c>
      <c r="E78" s="11" t="s">
        <v>17</v>
      </c>
      <c r="F78" s="11">
        <v>65.37</v>
      </c>
      <c r="G78" s="11">
        <v>2</v>
      </c>
      <c r="H78" s="11">
        <v>130.74</v>
      </c>
      <c r="I78" s="11" t="s">
        <v>32</v>
      </c>
      <c r="J78" s="11">
        <v>4.5</v>
      </c>
    </row>
    <row r="79" spans="1:10" ht="15.75" x14ac:dyDescent="0.25">
      <c r="A79" s="12">
        <v>45832</v>
      </c>
      <c r="B79" s="13" t="s">
        <v>26</v>
      </c>
      <c r="C79" s="13" t="s">
        <v>27</v>
      </c>
      <c r="D79" s="13" t="s">
        <v>35</v>
      </c>
      <c r="E79" s="13" t="s">
        <v>36</v>
      </c>
      <c r="F79" s="13">
        <v>19.350000000000001</v>
      </c>
      <c r="G79" s="13">
        <v>1</v>
      </c>
      <c r="H79" s="13">
        <v>19.350000000000001</v>
      </c>
      <c r="I79" s="13" t="s">
        <v>32</v>
      </c>
      <c r="J79" s="13">
        <v>3.7</v>
      </c>
    </row>
    <row r="80" spans="1:10" ht="15.75" x14ac:dyDescent="0.25">
      <c r="A80" s="10">
        <v>45807</v>
      </c>
      <c r="B80" s="11" t="s">
        <v>19</v>
      </c>
      <c r="C80" s="11" t="s">
        <v>20</v>
      </c>
      <c r="D80" s="11" t="s">
        <v>30</v>
      </c>
      <c r="E80" s="11" t="s">
        <v>36</v>
      </c>
      <c r="F80" s="11">
        <v>37.18</v>
      </c>
      <c r="G80" s="11">
        <v>3</v>
      </c>
      <c r="H80" s="11">
        <v>111.54</v>
      </c>
      <c r="I80" s="11" t="s">
        <v>14</v>
      </c>
      <c r="J80" s="11">
        <v>4.5999999999999996</v>
      </c>
    </row>
    <row r="81" spans="1:10" ht="15.75" x14ac:dyDescent="0.25">
      <c r="A81" s="12">
        <v>45705</v>
      </c>
      <c r="B81" s="13" t="s">
        <v>38</v>
      </c>
      <c r="C81" s="13" t="s">
        <v>39</v>
      </c>
      <c r="D81" s="13" t="s">
        <v>35</v>
      </c>
      <c r="E81" s="13" t="s">
        <v>17</v>
      </c>
      <c r="F81" s="13">
        <v>58.02</v>
      </c>
      <c r="G81" s="13">
        <v>3</v>
      </c>
      <c r="H81" s="13">
        <v>174.06</v>
      </c>
      <c r="I81" s="13" t="s">
        <v>23</v>
      </c>
      <c r="J81" s="13">
        <v>5</v>
      </c>
    </row>
    <row r="82" spans="1:10" ht="15.75" x14ac:dyDescent="0.25">
      <c r="A82" s="10">
        <v>45694</v>
      </c>
      <c r="B82" s="11" t="s">
        <v>10</v>
      </c>
      <c r="C82" s="11" t="s">
        <v>11</v>
      </c>
      <c r="D82" s="11" t="s">
        <v>28</v>
      </c>
      <c r="E82" s="11" t="s">
        <v>31</v>
      </c>
      <c r="F82" s="11">
        <v>56.78</v>
      </c>
      <c r="G82" s="11">
        <v>3</v>
      </c>
      <c r="H82" s="11">
        <v>170.34</v>
      </c>
      <c r="I82" s="11" t="s">
        <v>23</v>
      </c>
      <c r="J82" s="11">
        <v>4.2</v>
      </c>
    </row>
    <row r="83" spans="1:10" ht="15.75" x14ac:dyDescent="0.25">
      <c r="A83" s="12">
        <v>45799</v>
      </c>
      <c r="B83" s="13" t="s">
        <v>40</v>
      </c>
      <c r="C83" s="13" t="s">
        <v>11</v>
      </c>
      <c r="D83" s="13" t="s">
        <v>30</v>
      </c>
      <c r="E83" s="13" t="s">
        <v>17</v>
      </c>
      <c r="F83" s="13">
        <v>53.15</v>
      </c>
      <c r="G83" s="13">
        <v>2</v>
      </c>
      <c r="H83" s="13">
        <v>106.3</v>
      </c>
      <c r="I83" s="13" t="s">
        <v>18</v>
      </c>
      <c r="J83" s="13">
        <v>4.7</v>
      </c>
    </row>
    <row r="84" spans="1:10" ht="15.75" x14ac:dyDescent="0.25">
      <c r="A84" s="10">
        <v>45730</v>
      </c>
      <c r="B84" s="11" t="s">
        <v>24</v>
      </c>
      <c r="C84" s="11" t="s">
        <v>25</v>
      </c>
      <c r="D84" s="11" t="s">
        <v>12</v>
      </c>
      <c r="E84" s="11" t="s">
        <v>36</v>
      </c>
      <c r="F84" s="11">
        <v>85.01</v>
      </c>
      <c r="G84" s="11">
        <v>3</v>
      </c>
      <c r="H84" s="11">
        <v>255.03</v>
      </c>
      <c r="I84" s="11" t="s">
        <v>18</v>
      </c>
      <c r="J84" s="11">
        <v>3.8</v>
      </c>
    </row>
    <row r="85" spans="1:10" ht="15.75" x14ac:dyDescent="0.25">
      <c r="A85" s="12">
        <v>45807</v>
      </c>
      <c r="B85" s="13" t="s">
        <v>10</v>
      </c>
      <c r="C85" s="13" t="s">
        <v>11</v>
      </c>
      <c r="D85" s="13" t="s">
        <v>12</v>
      </c>
      <c r="E85" s="13" t="s">
        <v>13</v>
      </c>
      <c r="F85" s="13">
        <v>18.71</v>
      </c>
      <c r="G85" s="13">
        <v>2</v>
      </c>
      <c r="H85" s="13">
        <v>37.42</v>
      </c>
      <c r="I85" s="13" t="s">
        <v>14</v>
      </c>
      <c r="J85" s="13">
        <v>4.5</v>
      </c>
    </row>
    <row r="86" spans="1:10" ht="15.75" x14ac:dyDescent="0.25">
      <c r="A86" s="10">
        <v>45676</v>
      </c>
      <c r="B86" s="11" t="s">
        <v>33</v>
      </c>
      <c r="C86" s="11" t="s">
        <v>34</v>
      </c>
      <c r="D86" s="11" t="s">
        <v>30</v>
      </c>
      <c r="E86" s="11" t="s">
        <v>31</v>
      </c>
      <c r="F86" s="11">
        <v>30.84</v>
      </c>
      <c r="G86" s="11">
        <v>2</v>
      </c>
      <c r="H86" s="11">
        <v>61.68</v>
      </c>
      <c r="I86" s="11" t="s">
        <v>32</v>
      </c>
      <c r="J86" s="11">
        <v>4.3</v>
      </c>
    </row>
    <row r="87" spans="1:10" ht="15.75" x14ac:dyDescent="0.25">
      <c r="A87" s="12">
        <v>45717</v>
      </c>
      <c r="B87" s="13" t="s">
        <v>33</v>
      </c>
      <c r="C87" s="13" t="s">
        <v>34</v>
      </c>
      <c r="D87" s="13" t="s">
        <v>35</v>
      </c>
      <c r="E87" s="13" t="s">
        <v>31</v>
      </c>
      <c r="F87" s="13">
        <v>89.16</v>
      </c>
      <c r="G87" s="13">
        <v>3</v>
      </c>
      <c r="H87" s="13">
        <v>267.48</v>
      </c>
      <c r="I87" s="13" t="s">
        <v>14</v>
      </c>
      <c r="J87" s="13">
        <v>4</v>
      </c>
    </row>
    <row r="88" spans="1:10" ht="15.75" x14ac:dyDescent="0.25">
      <c r="A88" s="10">
        <v>45744</v>
      </c>
      <c r="B88" s="11" t="s">
        <v>26</v>
      </c>
      <c r="C88" s="11" t="s">
        <v>27</v>
      </c>
      <c r="D88" s="11" t="s">
        <v>30</v>
      </c>
      <c r="E88" s="11" t="s">
        <v>37</v>
      </c>
      <c r="F88" s="11">
        <v>70.849999999999994</v>
      </c>
      <c r="G88" s="11">
        <v>1</v>
      </c>
      <c r="H88" s="11">
        <v>70.849999999999994</v>
      </c>
      <c r="I88" s="11" t="s">
        <v>32</v>
      </c>
      <c r="J88" s="11">
        <v>3.7</v>
      </c>
    </row>
    <row r="89" spans="1:10" ht="15.75" x14ac:dyDescent="0.25">
      <c r="A89" s="12">
        <v>45694</v>
      </c>
      <c r="B89" s="13" t="s">
        <v>10</v>
      </c>
      <c r="C89" s="13" t="s">
        <v>11</v>
      </c>
      <c r="D89" s="13" t="s">
        <v>30</v>
      </c>
      <c r="E89" s="13" t="s">
        <v>31</v>
      </c>
      <c r="F89" s="13">
        <v>43.21</v>
      </c>
      <c r="G89" s="13">
        <v>1</v>
      </c>
      <c r="H89" s="13">
        <v>43.21</v>
      </c>
      <c r="I89" s="13" t="s">
        <v>32</v>
      </c>
      <c r="J89" s="13">
        <v>3.7</v>
      </c>
    </row>
    <row r="90" spans="1:10" ht="15.75" x14ac:dyDescent="0.25">
      <c r="A90" s="10">
        <v>45760</v>
      </c>
      <c r="B90" s="11" t="s">
        <v>19</v>
      </c>
      <c r="C90" s="11" t="s">
        <v>20</v>
      </c>
      <c r="D90" s="11" t="s">
        <v>30</v>
      </c>
      <c r="E90" s="11" t="s">
        <v>36</v>
      </c>
      <c r="F90" s="11">
        <v>76.989999999999995</v>
      </c>
      <c r="G90" s="11">
        <v>1</v>
      </c>
      <c r="H90" s="11">
        <v>76.989999999999995</v>
      </c>
      <c r="I90" s="11" t="s">
        <v>32</v>
      </c>
      <c r="J90" s="11">
        <v>4.3</v>
      </c>
    </row>
    <row r="91" spans="1:10" ht="15.75" x14ac:dyDescent="0.25">
      <c r="A91" s="12">
        <v>45829</v>
      </c>
      <c r="B91" s="13" t="s">
        <v>19</v>
      </c>
      <c r="C91" s="13" t="s">
        <v>20</v>
      </c>
      <c r="D91" s="13" t="s">
        <v>35</v>
      </c>
      <c r="E91" s="13" t="s">
        <v>31</v>
      </c>
      <c r="F91" s="13">
        <v>10.47</v>
      </c>
      <c r="G91" s="13">
        <v>1</v>
      </c>
      <c r="H91" s="13">
        <v>10.47</v>
      </c>
      <c r="I91" s="13" t="s">
        <v>18</v>
      </c>
      <c r="J91" s="13">
        <v>4</v>
      </c>
    </row>
    <row r="92" spans="1:10" ht="15.75" x14ac:dyDescent="0.25">
      <c r="A92" s="10">
        <v>45767</v>
      </c>
      <c r="B92" s="11" t="s">
        <v>24</v>
      </c>
      <c r="C92" s="11" t="s">
        <v>25</v>
      </c>
      <c r="D92" s="11" t="s">
        <v>29</v>
      </c>
      <c r="E92" s="11" t="s">
        <v>13</v>
      </c>
      <c r="F92" s="11">
        <v>77.19</v>
      </c>
      <c r="G92" s="11">
        <v>2</v>
      </c>
      <c r="H92" s="11">
        <v>154.38</v>
      </c>
      <c r="I92" s="11" t="s">
        <v>14</v>
      </c>
      <c r="J92" s="11">
        <v>4</v>
      </c>
    </row>
    <row r="93" spans="1:10" ht="15.75" x14ac:dyDescent="0.25">
      <c r="A93" s="12">
        <v>45680</v>
      </c>
      <c r="B93" s="13" t="s">
        <v>26</v>
      </c>
      <c r="C93" s="13" t="s">
        <v>27</v>
      </c>
      <c r="D93" s="13" t="s">
        <v>35</v>
      </c>
      <c r="E93" s="13" t="s">
        <v>36</v>
      </c>
      <c r="F93" s="13">
        <v>98.23</v>
      </c>
      <c r="G93" s="13">
        <v>2</v>
      </c>
      <c r="H93" s="13">
        <v>196.46</v>
      </c>
      <c r="I93" s="13" t="s">
        <v>14</v>
      </c>
      <c r="J93" s="13">
        <v>3.5</v>
      </c>
    </row>
    <row r="94" spans="1:10" ht="15.75" x14ac:dyDescent="0.25">
      <c r="A94" s="10">
        <v>45751</v>
      </c>
      <c r="B94" s="11" t="s">
        <v>10</v>
      </c>
      <c r="C94" s="11" t="s">
        <v>11</v>
      </c>
      <c r="D94" s="11" t="s">
        <v>30</v>
      </c>
      <c r="E94" s="11" t="s">
        <v>37</v>
      </c>
      <c r="F94" s="11">
        <v>38.83</v>
      </c>
      <c r="G94" s="11">
        <v>1</v>
      </c>
      <c r="H94" s="11">
        <v>38.83</v>
      </c>
      <c r="I94" s="11" t="s">
        <v>14</v>
      </c>
      <c r="J94" s="11">
        <v>4.5999999999999996</v>
      </c>
    </row>
    <row r="95" spans="1:10" ht="15.75" x14ac:dyDescent="0.25">
      <c r="A95" s="12">
        <v>45666</v>
      </c>
      <c r="B95" s="13" t="s">
        <v>15</v>
      </c>
      <c r="C95" s="13" t="s">
        <v>16</v>
      </c>
      <c r="D95" s="13" t="s">
        <v>30</v>
      </c>
      <c r="E95" s="13" t="s">
        <v>41</v>
      </c>
      <c r="F95" s="13">
        <v>26.62</v>
      </c>
      <c r="G95" s="13">
        <v>3</v>
      </c>
      <c r="H95" s="13">
        <v>79.86</v>
      </c>
      <c r="I95" s="13" t="s">
        <v>14</v>
      </c>
      <c r="J95" s="13">
        <v>3.8</v>
      </c>
    </row>
    <row r="96" spans="1:10" ht="15.75" x14ac:dyDescent="0.25">
      <c r="A96" s="10">
        <v>45661</v>
      </c>
      <c r="B96" s="11" t="s">
        <v>24</v>
      </c>
      <c r="C96" s="11" t="s">
        <v>25</v>
      </c>
      <c r="D96" s="11" t="s">
        <v>35</v>
      </c>
      <c r="E96" s="11" t="s">
        <v>36</v>
      </c>
      <c r="F96" s="11">
        <v>41.34</v>
      </c>
      <c r="G96" s="11">
        <v>3</v>
      </c>
      <c r="H96" s="11">
        <v>124.02</v>
      </c>
      <c r="I96" s="11" t="s">
        <v>32</v>
      </c>
      <c r="J96" s="11">
        <v>3.9</v>
      </c>
    </row>
    <row r="97" spans="1:10" ht="15.75" x14ac:dyDescent="0.25">
      <c r="A97" s="12">
        <v>45830</v>
      </c>
      <c r="B97" s="13" t="s">
        <v>15</v>
      </c>
      <c r="C97" s="13" t="s">
        <v>16</v>
      </c>
      <c r="D97" s="13" t="s">
        <v>28</v>
      </c>
      <c r="E97" s="13" t="s">
        <v>37</v>
      </c>
      <c r="F97" s="13">
        <v>16.43</v>
      </c>
      <c r="G97" s="13">
        <v>1</v>
      </c>
      <c r="H97" s="13">
        <v>16.43</v>
      </c>
      <c r="I97" s="13" t="s">
        <v>23</v>
      </c>
      <c r="J97" s="13">
        <v>3.7</v>
      </c>
    </row>
    <row r="98" spans="1:10" ht="15.75" x14ac:dyDescent="0.25">
      <c r="A98" s="10">
        <v>45811</v>
      </c>
      <c r="B98" s="11" t="s">
        <v>19</v>
      </c>
      <c r="C98" s="11" t="s">
        <v>20</v>
      </c>
      <c r="D98" s="11" t="s">
        <v>28</v>
      </c>
      <c r="E98" s="11" t="s">
        <v>13</v>
      </c>
      <c r="F98" s="11">
        <v>53.75</v>
      </c>
      <c r="G98" s="11">
        <v>2</v>
      </c>
      <c r="H98" s="11">
        <v>107.5</v>
      </c>
      <c r="I98" s="11" t="s">
        <v>14</v>
      </c>
      <c r="J98" s="11">
        <v>4.5999999999999996</v>
      </c>
    </row>
    <row r="99" spans="1:10" ht="15.75" x14ac:dyDescent="0.25">
      <c r="A99" s="12">
        <v>45747</v>
      </c>
      <c r="B99" s="13" t="s">
        <v>33</v>
      </c>
      <c r="C99" s="13" t="s">
        <v>34</v>
      </c>
      <c r="D99" s="13" t="s">
        <v>29</v>
      </c>
      <c r="E99" s="13" t="s">
        <v>41</v>
      </c>
      <c r="F99" s="13">
        <v>30.6</v>
      </c>
      <c r="G99" s="13">
        <v>3</v>
      </c>
      <c r="H99" s="13">
        <v>91.8</v>
      </c>
      <c r="I99" s="13" t="s">
        <v>14</v>
      </c>
      <c r="J99" s="13">
        <v>4.5999999999999996</v>
      </c>
    </row>
    <row r="100" spans="1:10" ht="15.75" x14ac:dyDescent="0.25">
      <c r="A100" s="10">
        <v>45749</v>
      </c>
      <c r="B100" s="11" t="s">
        <v>33</v>
      </c>
      <c r="C100" s="11" t="s">
        <v>34</v>
      </c>
      <c r="D100" s="11" t="s">
        <v>35</v>
      </c>
      <c r="E100" s="11" t="s">
        <v>13</v>
      </c>
      <c r="F100" s="11">
        <v>55.87</v>
      </c>
      <c r="G100" s="11">
        <v>2</v>
      </c>
      <c r="H100" s="11">
        <v>111.74</v>
      </c>
      <c r="I100" s="11" t="s">
        <v>23</v>
      </c>
      <c r="J100" s="11">
        <v>3.8</v>
      </c>
    </row>
    <row r="101" spans="1:10" ht="15.75" x14ac:dyDescent="0.25">
      <c r="A101" s="12">
        <v>45752</v>
      </c>
      <c r="B101" s="13" t="s">
        <v>33</v>
      </c>
      <c r="C101" s="13" t="s">
        <v>34</v>
      </c>
      <c r="D101" s="13" t="s">
        <v>30</v>
      </c>
      <c r="E101" s="13" t="s">
        <v>13</v>
      </c>
      <c r="F101" s="13">
        <v>25.74</v>
      </c>
      <c r="G101" s="13">
        <v>1</v>
      </c>
      <c r="H101" s="13">
        <v>25.74</v>
      </c>
      <c r="I101" s="13" t="s">
        <v>23</v>
      </c>
      <c r="J101" s="13">
        <v>4.0999999999999996</v>
      </c>
    </row>
    <row r="102" spans="1:10" ht="15.75" x14ac:dyDescent="0.25">
      <c r="A102" s="10">
        <v>45772</v>
      </c>
      <c r="B102" s="11" t="s">
        <v>24</v>
      </c>
      <c r="C102" s="11" t="s">
        <v>25</v>
      </c>
      <c r="D102" s="11" t="s">
        <v>30</v>
      </c>
      <c r="E102" s="11" t="s">
        <v>22</v>
      </c>
      <c r="F102" s="11">
        <v>74.319999999999993</v>
      </c>
      <c r="G102" s="11">
        <v>2</v>
      </c>
      <c r="H102" s="11">
        <v>148.63999999999999</v>
      </c>
      <c r="I102" s="11" t="s">
        <v>23</v>
      </c>
      <c r="J102" s="11">
        <v>3.6</v>
      </c>
    </row>
    <row r="103" spans="1:10" ht="15.75" x14ac:dyDescent="0.25">
      <c r="A103" s="12">
        <v>45754</v>
      </c>
      <c r="B103" s="13" t="s">
        <v>38</v>
      </c>
      <c r="C103" s="13" t="s">
        <v>39</v>
      </c>
      <c r="D103" s="13" t="s">
        <v>28</v>
      </c>
      <c r="E103" s="13" t="s">
        <v>22</v>
      </c>
      <c r="F103" s="13">
        <v>84.99</v>
      </c>
      <c r="G103" s="13">
        <v>3</v>
      </c>
      <c r="H103" s="13">
        <v>254.97</v>
      </c>
      <c r="I103" s="13" t="s">
        <v>18</v>
      </c>
      <c r="J103" s="13">
        <v>4.0999999999999996</v>
      </c>
    </row>
    <row r="104" spans="1:10" ht="15.75" x14ac:dyDescent="0.25">
      <c r="A104" s="10">
        <v>45705</v>
      </c>
      <c r="B104" s="11" t="s">
        <v>33</v>
      </c>
      <c r="C104" s="11" t="s">
        <v>34</v>
      </c>
      <c r="D104" s="11" t="s">
        <v>12</v>
      </c>
      <c r="E104" s="11" t="s">
        <v>31</v>
      </c>
      <c r="F104" s="11">
        <v>20.9</v>
      </c>
      <c r="G104" s="11">
        <v>2</v>
      </c>
      <c r="H104" s="11">
        <v>41.8</v>
      </c>
      <c r="I104" s="11" t="s">
        <v>14</v>
      </c>
      <c r="J104" s="11">
        <v>4.3</v>
      </c>
    </row>
    <row r="105" spans="1:10" ht="15.75" x14ac:dyDescent="0.25">
      <c r="A105" s="12">
        <v>45731</v>
      </c>
      <c r="B105" s="13" t="s">
        <v>10</v>
      </c>
      <c r="C105" s="13" t="s">
        <v>11</v>
      </c>
      <c r="D105" s="13" t="s">
        <v>29</v>
      </c>
      <c r="E105" s="13" t="s">
        <v>17</v>
      </c>
      <c r="F105" s="13">
        <v>38.450000000000003</v>
      </c>
      <c r="G105" s="13">
        <v>2</v>
      </c>
      <c r="H105" s="13">
        <v>76.900000000000006</v>
      </c>
      <c r="I105" s="13" t="s">
        <v>32</v>
      </c>
      <c r="J105" s="13">
        <v>4</v>
      </c>
    </row>
    <row r="106" spans="1:10" ht="15.75" x14ac:dyDescent="0.25">
      <c r="A106" s="10">
        <v>45794</v>
      </c>
      <c r="B106" s="11" t="s">
        <v>24</v>
      </c>
      <c r="C106" s="11" t="s">
        <v>25</v>
      </c>
      <c r="D106" s="11" t="s">
        <v>12</v>
      </c>
      <c r="E106" s="11" t="s">
        <v>41</v>
      </c>
      <c r="F106" s="11">
        <v>77.87</v>
      </c>
      <c r="G106" s="11">
        <v>1</v>
      </c>
      <c r="H106" s="11">
        <v>77.87</v>
      </c>
      <c r="I106" s="11" t="s">
        <v>14</v>
      </c>
      <c r="J106" s="11">
        <v>4.8</v>
      </c>
    </row>
    <row r="107" spans="1:10" ht="15.75" x14ac:dyDescent="0.25">
      <c r="A107" s="12">
        <v>45837</v>
      </c>
      <c r="B107" s="13" t="s">
        <v>40</v>
      </c>
      <c r="C107" s="13" t="s">
        <v>11</v>
      </c>
      <c r="D107" s="13" t="s">
        <v>12</v>
      </c>
      <c r="E107" s="13" t="s">
        <v>41</v>
      </c>
      <c r="F107" s="13">
        <v>52.83</v>
      </c>
      <c r="G107" s="13">
        <v>1</v>
      </c>
      <c r="H107" s="13">
        <v>52.83</v>
      </c>
      <c r="I107" s="13" t="s">
        <v>18</v>
      </c>
      <c r="J107" s="13">
        <v>4.9000000000000004</v>
      </c>
    </row>
    <row r="108" spans="1:10" ht="15.75" x14ac:dyDescent="0.25">
      <c r="A108" s="10">
        <v>45781</v>
      </c>
      <c r="B108" s="11" t="s">
        <v>19</v>
      </c>
      <c r="C108" s="11" t="s">
        <v>20</v>
      </c>
      <c r="D108" s="11" t="s">
        <v>29</v>
      </c>
      <c r="E108" s="11" t="s">
        <v>22</v>
      </c>
      <c r="F108" s="11">
        <v>81</v>
      </c>
      <c r="G108" s="11">
        <v>2</v>
      </c>
      <c r="H108" s="11">
        <v>162</v>
      </c>
      <c r="I108" s="11" t="s">
        <v>14</v>
      </c>
      <c r="J108" s="11">
        <v>4.2</v>
      </c>
    </row>
    <row r="109" spans="1:10" ht="15.75" x14ac:dyDescent="0.25">
      <c r="A109" s="12">
        <v>45733</v>
      </c>
      <c r="B109" s="13" t="s">
        <v>38</v>
      </c>
      <c r="C109" s="13" t="s">
        <v>39</v>
      </c>
      <c r="D109" s="13" t="s">
        <v>35</v>
      </c>
      <c r="E109" s="13" t="s">
        <v>36</v>
      </c>
      <c r="F109" s="13">
        <v>17.14</v>
      </c>
      <c r="G109" s="13">
        <v>2</v>
      </c>
      <c r="H109" s="13">
        <v>34.28</v>
      </c>
      <c r="I109" s="13" t="s">
        <v>14</v>
      </c>
      <c r="J109" s="13">
        <v>5</v>
      </c>
    </row>
    <row r="110" spans="1:10" ht="15.75" x14ac:dyDescent="0.25">
      <c r="A110" s="10">
        <v>45802</v>
      </c>
      <c r="B110" s="11" t="s">
        <v>15</v>
      </c>
      <c r="C110" s="11" t="s">
        <v>16</v>
      </c>
      <c r="D110" s="11" t="s">
        <v>35</v>
      </c>
      <c r="E110" s="11" t="s">
        <v>31</v>
      </c>
      <c r="F110" s="11">
        <v>65.14</v>
      </c>
      <c r="G110" s="11">
        <v>1</v>
      </c>
      <c r="H110" s="11">
        <v>65.14</v>
      </c>
      <c r="I110" s="11" t="s">
        <v>32</v>
      </c>
      <c r="J110" s="11">
        <v>4.7</v>
      </c>
    </row>
    <row r="111" spans="1:10" ht="15.75" x14ac:dyDescent="0.25">
      <c r="A111" s="12">
        <v>45788</v>
      </c>
      <c r="B111" s="13" t="s">
        <v>19</v>
      </c>
      <c r="C111" s="13" t="s">
        <v>20</v>
      </c>
      <c r="D111" s="13" t="s">
        <v>30</v>
      </c>
      <c r="E111" s="13" t="s">
        <v>22</v>
      </c>
      <c r="F111" s="13">
        <v>49.97</v>
      </c>
      <c r="G111" s="13">
        <v>3</v>
      </c>
      <c r="H111" s="13">
        <v>149.91</v>
      </c>
      <c r="I111" s="13" t="s">
        <v>18</v>
      </c>
      <c r="J111" s="13">
        <v>4.4000000000000004</v>
      </c>
    </row>
    <row r="112" spans="1:10" ht="15.75" x14ac:dyDescent="0.25">
      <c r="A112" s="10">
        <v>45718</v>
      </c>
      <c r="B112" s="11" t="s">
        <v>38</v>
      </c>
      <c r="C112" s="11" t="s">
        <v>39</v>
      </c>
      <c r="D112" s="11" t="s">
        <v>29</v>
      </c>
      <c r="E112" s="11" t="s">
        <v>31</v>
      </c>
      <c r="F112" s="11">
        <v>91.72</v>
      </c>
      <c r="G112" s="11">
        <v>2</v>
      </c>
      <c r="H112" s="11">
        <v>183.44</v>
      </c>
      <c r="I112" s="11" t="s">
        <v>23</v>
      </c>
      <c r="J112" s="11">
        <v>4.4000000000000004</v>
      </c>
    </row>
    <row r="113" spans="1:10" ht="15.75" x14ac:dyDescent="0.25">
      <c r="A113" s="12">
        <v>45835</v>
      </c>
      <c r="B113" s="13" t="s">
        <v>33</v>
      </c>
      <c r="C113" s="13" t="s">
        <v>34</v>
      </c>
      <c r="D113" s="13" t="s">
        <v>12</v>
      </c>
      <c r="E113" s="13" t="s">
        <v>22</v>
      </c>
      <c r="F113" s="13">
        <v>66.94</v>
      </c>
      <c r="G113" s="13">
        <v>1</v>
      </c>
      <c r="H113" s="13">
        <v>66.94</v>
      </c>
      <c r="I113" s="13" t="s">
        <v>32</v>
      </c>
      <c r="J113" s="13">
        <v>4</v>
      </c>
    </row>
    <row r="114" spans="1:10" ht="15.75" x14ac:dyDescent="0.25">
      <c r="A114" s="10">
        <v>45735</v>
      </c>
      <c r="B114" s="11" t="s">
        <v>19</v>
      </c>
      <c r="C114" s="11" t="s">
        <v>20</v>
      </c>
      <c r="D114" s="11" t="s">
        <v>29</v>
      </c>
      <c r="E114" s="11" t="s">
        <v>17</v>
      </c>
      <c r="F114" s="11">
        <v>47.44</v>
      </c>
      <c r="G114" s="11">
        <v>1</v>
      </c>
      <c r="H114" s="11">
        <v>47.44</v>
      </c>
      <c r="I114" s="11" t="s">
        <v>14</v>
      </c>
      <c r="J114" s="11">
        <v>3.9</v>
      </c>
    </row>
    <row r="115" spans="1:10" ht="15.75" x14ac:dyDescent="0.25">
      <c r="A115" s="12">
        <v>45708</v>
      </c>
      <c r="B115" s="13" t="s">
        <v>40</v>
      </c>
      <c r="C115" s="13" t="s">
        <v>11</v>
      </c>
      <c r="D115" s="13" t="s">
        <v>28</v>
      </c>
      <c r="E115" s="13" t="s">
        <v>17</v>
      </c>
      <c r="F115" s="13">
        <v>36.700000000000003</v>
      </c>
      <c r="G115" s="13">
        <v>3</v>
      </c>
      <c r="H115" s="13">
        <v>110.1</v>
      </c>
      <c r="I115" s="13" t="s">
        <v>23</v>
      </c>
      <c r="J115" s="13">
        <v>4.5999999999999996</v>
      </c>
    </row>
    <row r="116" spans="1:10" ht="15.75" x14ac:dyDescent="0.25">
      <c r="A116" s="10">
        <v>45772</v>
      </c>
      <c r="B116" s="11" t="s">
        <v>38</v>
      </c>
      <c r="C116" s="11" t="s">
        <v>39</v>
      </c>
      <c r="D116" s="11" t="s">
        <v>29</v>
      </c>
      <c r="E116" s="11" t="s">
        <v>31</v>
      </c>
      <c r="F116" s="11">
        <v>12.32</v>
      </c>
      <c r="G116" s="11">
        <v>1</v>
      </c>
      <c r="H116" s="11">
        <v>12.32</v>
      </c>
      <c r="I116" s="11" t="s">
        <v>18</v>
      </c>
      <c r="J116" s="11">
        <v>4.4000000000000004</v>
      </c>
    </row>
    <row r="117" spans="1:10" ht="15.75" x14ac:dyDescent="0.25">
      <c r="A117" s="12">
        <v>45683</v>
      </c>
      <c r="B117" s="13" t="s">
        <v>19</v>
      </c>
      <c r="C117" s="13" t="s">
        <v>20</v>
      </c>
      <c r="D117" s="13" t="s">
        <v>12</v>
      </c>
      <c r="E117" s="13" t="s">
        <v>13</v>
      </c>
      <c r="F117" s="13">
        <v>31.9</v>
      </c>
      <c r="G117" s="13">
        <v>2</v>
      </c>
      <c r="H117" s="13">
        <v>63.8</v>
      </c>
      <c r="I117" s="13" t="s">
        <v>32</v>
      </c>
      <c r="J117" s="13">
        <v>3.6</v>
      </c>
    </row>
    <row r="118" spans="1:10" ht="15.75" x14ac:dyDescent="0.25">
      <c r="A118" s="10">
        <v>45682</v>
      </c>
      <c r="B118" s="11" t="s">
        <v>24</v>
      </c>
      <c r="C118" s="11" t="s">
        <v>25</v>
      </c>
      <c r="D118" s="11" t="s">
        <v>35</v>
      </c>
      <c r="E118" s="11" t="s">
        <v>41</v>
      </c>
      <c r="F118" s="11">
        <v>98.3</v>
      </c>
      <c r="G118" s="11">
        <v>3</v>
      </c>
      <c r="H118" s="11">
        <v>294.89999999999998</v>
      </c>
      <c r="I118" s="11" t="s">
        <v>23</v>
      </c>
      <c r="J118" s="11">
        <v>4.4000000000000004</v>
      </c>
    </row>
    <row r="119" spans="1:10" ht="15.75" x14ac:dyDescent="0.25">
      <c r="A119" s="12">
        <v>45764</v>
      </c>
      <c r="B119" s="13" t="s">
        <v>40</v>
      </c>
      <c r="C119" s="13" t="s">
        <v>11</v>
      </c>
      <c r="D119" s="13" t="s">
        <v>30</v>
      </c>
      <c r="E119" s="13" t="s">
        <v>13</v>
      </c>
      <c r="F119" s="13">
        <v>90.18</v>
      </c>
      <c r="G119" s="13">
        <v>1</v>
      </c>
      <c r="H119" s="13">
        <v>90.18</v>
      </c>
      <c r="I119" s="13" t="s">
        <v>18</v>
      </c>
      <c r="J119" s="13">
        <v>3.8</v>
      </c>
    </row>
    <row r="120" spans="1:10" ht="15.75" x14ac:dyDescent="0.25">
      <c r="A120" s="10">
        <v>45760</v>
      </c>
      <c r="B120" s="11" t="s">
        <v>19</v>
      </c>
      <c r="C120" s="11" t="s">
        <v>20</v>
      </c>
      <c r="D120" s="11" t="s">
        <v>28</v>
      </c>
      <c r="E120" s="11" t="s">
        <v>37</v>
      </c>
      <c r="F120" s="11">
        <v>96.14</v>
      </c>
      <c r="G120" s="11">
        <v>3</v>
      </c>
      <c r="H120" s="11">
        <v>288.42</v>
      </c>
      <c r="I120" s="11" t="s">
        <v>14</v>
      </c>
      <c r="J120" s="11">
        <v>4</v>
      </c>
    </row>
    <row r="121" spans="1:10" ht="15.75" x14ac:dyDescent="0.25">
      <c r="A121" s="12">
        <v>45698</v>
      </c>
      <c r="B121" s="13" t="s">
        <v>26</v>
      </c>
      <c r="C121" s="13" t="s">
        <v>27</v>
      </c>
      <c r="D121" s="13" t="s">
        <v>30</v>
      </c>
      <c r="E121" s="13" t="s">
        <v>31</v>
      </c>
      <c r="F121" s="13">
        <v>92.3</v>
      </c>
      <c r="G121" s="13">
        <v>1</v>
      </c>
      <c r="H121" s="13">
        <v>92.3</v>
      </c>
      <c r="I121" s="13" t="s">
        <v>32</v>
      </c>
      <c r="J121" s="13">
        <v>3.8</v>
      </c>
    </row>
    <row r="122" spans="1:10" ht="15.75" x14ac:dyDescent="0.25">
      <c r="A122" s="10">
        <v>45831</v>
      </c>
      <c r="B122" s="11" t="s">
        <v>24</v>
      </c>
      <c r="C122" s="11" t="s">
        <v>25</v>
      </c>
      <c r="D122" s="11" t="s">
        <v>28</v>
      </c>
      <c r="E122" s="11" t="s">
        <v>41</v>
      </c>
      <c r="F122" s="11">
        <v>62.88</v>
      </c>
      <c r="G122" s="11">
        <v>1</v>
      </c>
      <c r="H122" s="11">
        <v>62.88</v>
      </c>
      <c r="I122" s="11" t="s">
        <v>32</v>
      </c>
      <c r="J122" s="11">
        <v>4.3</v>
      </c>
    </row>
    <row r="123" spans="1:10" ht="15.75" x14ac:dyDescent="0.25">
      <c r="A123" s="12">
        <v>45688</v>
      </c>
      <c r="B123" s="13" t="s">
        <v>40</v>
      </c>
      <c r="C123" s="13" t="s">
        <v>11</v>
      </c>
      <c r="D123" s="13" t="s">
        <v>35</v>
      </c>
      <c r="E123" s="13" t="s">
        <v>36</v>
      </c>
      <c r="F123" s="13">
        <v>18.5</v>
      </c>
      <c r="G123" s="13">
        <v>3</v>
      </c>
      <c r="H123" s="13">
        <v>55.5</v>
      </c>
      <c r="I123" s="13" t="s">
        <v>32</v>
      </c>
      <c r="J123" s="13">
        <v>4.5999999999999996</v>
      </c>
    </row>
    <row r="124" spans="1:10" ht="15.75" x14ac:dyDescent="0.25">
      <c r="A124" s="10">
        <v>45818</v>
      </c>
      <c r="B124" s="11" t="s">
        <v>24</v>
      </c>
      <c r="C124" s="11" t="s">
        <v>25</v>
      </c>
      <c r="D124" s="11" t="s">
        <v>30</v>
      </c>
      <c r="E124" s="11" t="s">
        <v>17</v>
      </c>
      <c r="F124" s="11">
        <v>93.33</v>
      </c>
      <c r="G124" s="11">
        <v>2</v>
      </c>
      <c r="H124" s="11">
        <v>186.66</v>
      </c>
      <c r="I124" s="11" t="s">
        <v>32</v>
      </c>
      <c r="J124" s="11">
        <v>4.3</v>
      </c>
    </row>
    <row r="125" spans="1:10" ht="15.75" x14ac:dyDescent="0.25">
      <c r="A125" s="12">
        <v>45677</v>
      </c>
      <c r="B125" s="13" t="s">
        <v>40</v>
      </c>
      <c r="C125" s="13" t="s">
        <v>11</v>
      </c>
      <c r="D125" s="13" t="s">
        <v>28</v>
      </c>
      <c r="E125" s="13" t="s">
        <v>22</v>
      </c>
      <c r="F125" s="13">
        <v>81.150000000000006</v>
      </c>
      <c r="G125" s="13">
        <v>2</v>
      </c>
      <c r="H125" s="13">
        <v>162.30000000000001</v>
      </c>
      <c r="I125" s="13" t="s">
        <v>18</v>
      </c>
      <c r="J125" s="13">
        <v>3.9</v>
      </c>
    </row>
    <row r="126" spans="1:10" ht="15.75" x14ac:dyDescent="0.25">
      <c r="A126" s="10">
        <v>45706</v>
      </c>
      <c r="B126" s="11" t="s">
        <v>19</v>
      </c>
      <c r="C126" s="11" t="s">
        <v>20</v>
      </c>
      <c r="D126" s="11" t="s">
        <v>28</v>
      </c>
      <c r="E126" s="11" t="s">
        <v>41</v>
      </c>
      <c r="F126" s="11">
        <v>10.8</v>
      </c>
      <c r="G126" s="11">
        <v>3</v>
      </c>
      <c r="H126" s="11">
        <v>32.4</v>
      </c>
      <c r="I126" s="11" t="s">
        <v>23</v>
      </c>
      <c r="J126" s="11">
        <v>4.0999999999999996</v>
      </c>
    </row>
    <row r="127" spans="1:10" ht="15.75" x14ac:dyDescent="0.25">
      <c r="A127" s="12">
        <v>45705</v>
      </c>
      <c r="B127" s="13" t="s">
        <v>38</v>
      </c>
      <c r="C127" s="13" t="s">
        <v>39</v>
      </c>
      <c r="D127" s="13" t="s">
        <v>35</v>
      </c>
      <c r="E127" s="13" t="s">
        <v>13</v>
      </c>
      <c r="F127" s="13">
        <v>51.84</v>
      </c>
      <c r="G127" s="13">
        <v>3</v>
      </c>
      <c r="H127" s="13">
        <v>155.52000000000001</v>
      </c>
      <c r="I127" s="13" t="s">
        <v>23</v>
      </c>
      <c r="J127" s="13">
        <v>4.2</v>
      </c>
    </row>
    <row r="128" spans="1:10" ht="15.75" x14ac:dyDescent="0.25">
      <c r="A128" s="10">
        <v>45773</v>
      </c>
      <c r="B128" s="11" t="s">
        <v>38</v>
      </c>
      <c r="C128" s="11" t="s">
        <v>39</v>
      </c>
      <c r="D128" s="11" t="s">
        <v>21</v>
      </c>
      <c r="E128" s="11" t="s">
        <v>17</v>
      </c>
      <c r="F128" s="11">
        <v>67.34</v>
      </c>
      <c r="G128" s="11">
        <v>1</v>
      </c>
      <c r="H128" s="11">
        <v>67.34</v>
      </c>
      <c r="I128" s="11" t="s">
        <v>18</v>
      </c>
      <c r="J128" s="11">
        <v>4</v>
      </c>
    </row>
    <row r="129" spans="1:10" ht="15.75" x14ac:dyDescent="0.25">
      <c r="A129" s="12">
        <v>45777</v>
      </c>
      <c r="B129" s="13" t="s">
        <v>24</v>
      </c>
      <c r="C129" s="13" t="s">
        <v>25</v>
      </c>
      <c r="D129" s="13" t="s">
        <v>30</v>
      </c>
      <c r="E129" s="13" t="s">
        <v>36</v>
      </c>
      <c r="F129" s="13">
        <v>86.56</v>
      </c>
      <c r="G129" s="13">
        <v>1</v>
      </c>
      <c r="H129" s="13">
        <v>86.56</v>
      </c>
      <c r="I129" s="13" t="s">
        <v>14</v>
      </c>
      <c r="J129" s="13">
        <v>4.2</v>
      </c>
    </row>
    <row r="130" spans="1:10" ht="15.75" x14ac:dyDescent="0.25">
      <c r="A130" s="10">
        <v>45689</v>
      </c>
      <c r="B130" s="11" t="s">
        <v>15</v>
      </c>
      <c r="C130" s="11" t="s">
        <v>16</v>
      </c>
      <c r="D130" s="11" t="s">
        <v>12</v>
      </c>
      <c r="E130" s="11" t="s">
        <v>17</v>
      </c>
      <c r="F130" s="11">
        <v>30.77</v>
      </c>
      <c r="G130" s="11">
        <v>2</v>
      </c>
      <c r="H130" s="11">
        <v>61.54</v>
      </c>
      <c r="I130" s="11" t="s">
        <v>18</v>
      </c>
      <c r="J130" s="11">
        <v>3.9</v>
      </c>
    </row>
    <row r="131" spans="1:10" ht="15.75" x14ac:dyDescent="0.25">
      <c r="A131" s="12">
        <v>45822</v>
      </c>
      <c r="B131" s="13" t="s">
        <v>33</v>
      </c>
      <c r="C131" s="13" t="s">
        <v>34</v>
      </c>
      <c r="D131" s="13" t="s">
        <v>21</v>
      </c>
      <c r="E131" s="13" t="s">
        <v>13</v>
      </c>
      <c r="F131" s="13">
        <v>74.23</v>
      </c>
      <c r="G131" s="13">
        <v>2</v>
      </c>
      <c r="H131" s="13">
        <v>148.46</v>
      </c>
      <c r="I131" s="13" t="s">
        <v>14</v>
      </c>
      <c r="J131" s="13">
        <v>4.2</v>
      </c>
    </row>
    <row r="132" spans="1:10" ht="15.75" x14ac:dyDescent="0.25">
      <c r="A132" s="10">
        <v>45703</v>
      </c>
      <c r="B132" s="11" t="s">
        <v>19</v>
      </c>
      <c r="C132" s="11" t="s">
        <v>20</v>
      </c>
      <c r="D132" s="11" t="s">
        <v>29</v>
      </c>
      <c r="E132" s="11" t="s">
        <v>41</v>
      </c>
      <c r="F132" s="11">
        <v>68.38</v>
      </c>
      <c r="G132" s="11">
        <v>2</v>
      </c>
      <c r="H132" s="11">
        <v>136.76</v>
      </c>
      <c r="I132" s="11" t="s">
        <v>32</v>
      </c>
      <c r="J132" s="11">
        <v>4.5999999999999996</v>
      </c>
    </row>
    <row r="133" spans="1:10" ht="15.75" x14ac:dyDescent="0.25">
      <c r="A133" s="12">
        <v>45720</v>
      </c>
      <c r="B133" s="13" t="s">
        <v>19</v>
      </c>
      <c r="C133" s="13" t="s">
        <v>20</v>
      </c>
      <c r="D133" s="13" t="s">
        <v>30</v>
      </c>
      <c r="E133" s="13" t="s">
        <v>31</v>
      </c>
      <c r="F133" s="13">
        <v>76.31</v>
      </c>
      <c r="G133" s="13">
        <v>2</v>
      </c>
      <c r="H133" s="13">
        <v>152.62</v>
      </c>
      <c r="I133" s="13" t="s">
        <v>18</v>
      </c>
      <c r="J133" s="13">
        <v>4.0999999999999996</v>
      </c>
    </row>
    <row r="134" spans="1:10" ht="15.75" x14ac:dyDescent="0.25">
      <c r="A134" s="10">
        <v>45759</v>
      </c>
      <c r="B134" s="11" t="s">
        <v>38</v>
      </c>
      <c r="C134" s="11" t="s">
        <v>39</v>
      </c>
      <c r="D134" s="11" t="s">
        <v>28</v>
      </c>
      <c r="E134" s="11" t="s">
        <v>37</v>
      </c>
      <c r="F134" s="11">
        <v>58.11</v>
      </c>
      <c r="G134" s="11">
        <v>2</v>
      </c>
      <c r="H134" s="11">
        <v>116.22</v>
      </c>
      <c r="I134" s="11" t="s">
        <v>23</v>
      </c>
      <c r="J134" s="11">
        <v>4.5999999999999996</v>
      </c>
    </row>
    <row r="135" spans="1:10" ht="15.75" x14ac:dyDescent="0.25">
      <c r="A135" s="12">
        <v>45830</v>
      </c>
      <c r="B135" s="13" t="s">
        <v>40</v>
      </c>
      <c r="C135" s="13" t="s">
        <v>11</v>
      </c>
      <c r="D135" s="13" t="s">
        <v>35</v>
      </c>
      <c r="E135" s="13" t="s">
        <v>41</v>
      </c>
      <c r="F135" s="13">
        <v>63.8</v>
      </c>
      <c r="G135" s="13">
        <v>1</v>
      </c>
      <c r="H135" s="13">
        <v>63.8</v>
      </c>
      <c r="I135" s="13" t="s">
        <v>18</v>
      </c>
      <c r="J135" s="13">
        <v>4.2</v>
      </c>
    </row>
    <row r="136" spans="1:10" ht="15.75" x14ac:dyDescent="0.25">
      <c r="A136" s="10">
        <v>45825</v>
      </c>
      <c r="B136" s="11" t="s">
        <v>15</v>
      </c>
      <c r="C136" s="11" t="s">
        <v>16</v>
      </c>
      <c r="D136" s="11" t="s">
        <v>30</v>
      </c>
      <c r="E136" s="11" t="s">
        <v>13</v>
      </c>
      <c r="F136" s="11">
        <v>51.96</v>
      </c>
      <c r="G136" s="11">
        <v>2</v>
      </c>
      <c r="H136" s="11">
        <v>103.92</v>
      </c>
      <c r="I136" s="11" t="s">
        <v>23</v>
      </c>
      <c r="J136" s="11">
        <v>3.9</v>
      </c>
    </row>
    <row r="137" spans="1:10" ht="15.75" x14ac:dyDescent="0.25">
      <c r="A137" s="12">
        <v>45727</v>
      </c>
      <c r="B137" s="13" t="s">
        <v>38</v>
      </c>
      <c r="C137" s="13" t="s">
        <v>39</v>
      </c>
      <c r="D137" s="13" t="s">
        <v>29</v>
      </c>
      <c r="E137" s="13" t="s">
        <v>17</v>
      </c>
      <c r="F137" s="13">
        <v>26.41</v>
      </c>
      <c r="G137" s="13">
        <v>1</v>
      </c>
      <c r="H137" s="13">
        <v>26.41</v>
      </c>
      <c r="I137" s="13" t="s">
        <v>32</v>
      </c>
      <c r="J137" s="13">
        <v>3.9</v>
      </c>
    </row>
    <row r="138" spans="1:10" ht="15.75" x14ac:dyDescent="0.25">
      <c r="A138" s="10">
        <v>45728</v>
      </c>
      <c r="B138" s="11" t="s">
        <v>19</v>
      </c>
      <c r="C138" s="11" t="s">
        <v>20</v>
      </c>
      <c r="D138" s="11" t="s">
        <v>29</v>
      </c>
      <c r="E138" s="11" t="s">
        <v>36</v>
      </c>
      <c r="F138" s="11">
        <v>80.489999999999995</v>
      </c>
      <c r="G138" s="11">
        <v>3</v>
      </c>
      <c r="H138" s="11">
        <v>241.47</v>
      </c>
      <c r="I138" s="11" t="s">
        <v>14</v>
      </c>
      <c r="J138" s="11">
        <v>3.6</v>
      </c>
    </row>
    <row r="139" spans="1:10" ht="15.75" x14ac:dyDescent="0.25">
      <c r="A139" s="12">
        <v>45835</v>
      </c>
      <c r="B139" s="13" t="s">
        <v>26</v>
      </c>
      <c r="C139" s="13" t="s">
        <v>27</v>
      </c>
      <c r="D139" s="13" t="s">
        <v>12</v>
      </c>
      <c r="E139" s="13" t="s">
        <v>17</v>
      </c>
      <c r="F139" s="13">
        <v>69.45</v>
      </c>
      <c r="G139" s="13">
        <v>1</v>
      </c>
      <c r="H139" s="13">
        <v>69.45</v>
      </c>
      <c r="I139" s="13" t="s">
        <v>23</v>
      </c>
      <c r="J139" s="13">
        <v>3.8</v>
      </c>
    </row>
    <row r="140" spans="1:10" ht="15.75" x14ac:dyDescent="0.25">
      <c r="A140" s="10">
        <v>45681</v>
      </c>
      <c r="B140" s="11" t="s">
        <v>24</v>
      </c>
      <c r="C140" s="11" t="s">
        <v>25</v>
      </c>
      <c r="D140" s="11" t="s">
        <v>30</v>
      </c>
      <c r="E140" s="11" t="s">
        <v>37</v>
      </c>
      <c r="F140" s="11">
        <v>91.77</v>
      </c>
      <c r="G140" s="11">
        <v>1</v>
      </c>
      <c r="H140" s="11">
        <v>91.77</v>
      </c>
      <c r="I140" s="11" t="s">
        <v>14</v>
      </c>
      <c r="J140" s="11">
        <v>3.9</v>
      </c>
    </row>
    <row r="141" spans="1:10" ht="15.75" x14ac:dyDescent="0.25">
      <c r="A141" s="12">
        <v>45781</v>
      </c>
      <c r="B141" s="13" t="s">
        <v>24</v>
      </c>
      <c r="C141" s="13" t="s">
        <v>25</v>
      </c>
      <c r="D141" s="13" t="s">
        <v>28</v>
      </c>
      <c r="E141" s="13" t="s">
        <v>36</v>
      </c>
      <c r="F141" s="13">
        <v>65.72</v>
      </c>
      <c r="G141" s="13">
        <v>1</v>
      </c>
      <c r="H141" s="13">
        <v>65.72</v>
      </c>
      <c r="I141" s="13" t="s">
        <v>32</v>
      </c>
      <c r="J141" s="13">
        <v>3.7</v>
      </c>
    </row>
    <row r="142" spans="1:10" ht="15.75" x14ac:dyDescent="0.25">
      <c r="A142" s="10">
        <v>45790</v>
      </c>
      <c r="B142" s="11" t="s">
        <v>26</v>
      </c>
      <c r="C142" s="11" t="s">
        <v>27</v>
      </c>
      <c r="D142" s="11" t="s">
        <v>29</v>
      </c>
      <c r="E142" s="11" t="s">
        <v>13</v>
      </c>
      <c r="F142" s="11">
        <v>54.49</v>
      </c>
      <c r="G142" s="11">
        <v>3</v>
      </c>
      <c r="H142" s="11">
        <v>163.47</v>
      </c>
      <c r="I142" s="11" t="s">
        <v>18</v>
      </c>
      <c r="J142" s="11">
        <v>5</v>
      </c>
    </row>
    <row r="143" spans="1:10" ht="15.75" x14ac:dyDescent="0.25">
      <c r="A143" s="12">
        <v>45663</v>
      </c>
      <c r="B143" s="13" t="s">
        <v>19</v>
      </c>
      <c r="C143" s="13" t="s">
        <v>20</v>
      </c>
      <c r="D143" s="13" t="s">
        <v>29</v>
      </c>
      <c r="E143" s="13" t="s">
        <v>41</v>
      </c>
      <c r="F143" s="13">
        <v>71.97</v>
      </c>
      <c r="G143" s="13">
        <v>1</v>
      </c>
      <c r="H143" s="13">
        <v>71.97</v>
      </c>
      <c r="I143" s="13" t="s">
        <v>23</v>
      </c>
      <c r="J143" s="13">
        <v>4.3</v>
      </c>
    </row>
    <row r="144" spans="1:10" ht="15.75" x14ac:dyDescent="0.25">
      <c r="A144" s="10">
        <v>45785</v>
      </c>
      <c r="B144" s="11" t="s">
        <v>24</v>
      </c>
      <c r="C144" s="11" t="s">
        <v>25</v>
      </c>
      <c r="D144" s="11" t="s">
        <v>28</v>
      </c>
      <c r="E144" s="11" t="s">
        <v>36</v>
      </c>
      <c r="F144" s="11">
        <v>36.200000000000003</v>
      </c>
      <c r="G144" s="11">
        <v>1</v>
      </c>
      <c r="H144" s="11">
        <v>36.200000000000003</v>
      </c>
      <c r="I144" s="11" t="s">
        <v>18</v>
      </c>
      <c r="J144" s="11">
        <v>4.7</v>
      </c>
    </row>
    <row r="145" spans="1:10" ht="15.75" x14ac:dyDescent="0.25">
      <c r="A145" s="12">
        <v>45712</v>
      </c>
      <c r="B145" s="13" t="s">
        <v>40</v>
      </c>
      <c r="C145" s="13" t="s">
        <v>11</v>
      </c>
      <c r="D145" s="13" t="s">
        <v>28</v>
      </c>
      <c r="E145" s="13" t="s">
        <v>31</v>
      </c>
      <c r="F145" s="13">
        <v>84.39</v>
      </c>
      <c r="G145" s="13">
        <v>1</v>
      </c>
      <c r="H145" s="13">
        <v>84.39</v>
      </c>
      <c r="I145" s="13" t="s">
        <v>32</v>
      </c>
      <c r="J145" s="13">
        <v>4.4000000000000004</v>
      </c>
    </row>
    <row r="146" spans="1:10" ht="15.75" x14ac:dyDescent="0.25">
      <c r="A146" s="10">
        <v>45778</v>
      </c>
      <c r="B146" s="11" t="s">
        <v>38</v>
      </c>
      <c r="C146" s="11" t="s">
        <v>39</v>
      </c>
      <c r="D146" s="11" t="s">
        <v>12</v>
      </c>
      <c r="E146" s="11" t="s">
        <v>17</v>
      </c>
      <c r="F146" s="11">
        <v>35.82</v>
      </c>
      <c r="G146" s="11">
        <v>3</v>
      </c>
      <c r="H146" s="11">
        <v>107.46</v>
      </c>
      <c r="I146" s="11" t="s">
        <v>14</v>
      </c>
      <c r="J146" s="11">
        <v>4</v>
      </c>
    </row>
    <row r="147" spans="1:10" ht="15.75" x14ac:dyDescent="0.25">
      <c r="A147" s="12">
        <v>45753</v>
      </c>
      <c r="B147" s="13" t="s">
        <v>40</v>
      </c>
      <c r="C147" s="13" t="s">
        <v>11</v>
      </c>
      <c r="D147" s="13" t="s">
        <v>29</v>
      </c>
      <c r="E147" s="13" t="s">
        <v>13</v>
      </c>
      <c r="F147" s="13">
        <v>67.05</v>
      </c>
      <c r="G147" s="13">
        <v>2</v>
      </c>
      <c r="H147" s="13">
        <v>134.1</v>
      </c>
      <c r="I147" s="13" t="s">
        <v>23</v>
      </c>
      <c r="J147" s="13">
        <v>4.4000000000000004</v>
      </c>
    </row>
    <row r="148" spans="1:10" ht="15.75" x14ac:dyDescent="0.25">
      <c r="A148" s="10">
        <v>45663</v>
      </c>
      <c r="B148" s="11" t="s">
        <v>10</v>
      </c>
      <c r="C148" s="11" t="s">
        <v>11</v>
      </c>
      <c r="D148" s="11" t="s">
        <v>30</v>
      </c>
      <c r="E148" s="11" t="s">
        <v>17</v>
      </c>
      <c r="F148" s="11">
        <v>43.29</v>
      </c>
      <c r="G148" s="11">
        <v>3</v>
      </c>
      <c r="H148" s="11">
        <v>129.87</v>
      </c>
      <c r="I148" s="11" t="s">
        <v>23</v>
      </c>
      <c r="J148" s="11">
        <v>4.5</v>
      </c>
    </row>
    <row r="149" spans="1:10" ht="15.75" x14ac:dyDescent="0.25">
      <c r="A149" s="12">
        <v>45744</v>
      </c>
      <c r="B149" s="13" t="s">
        <v>26</v>
      </c>
      <c r="C149" s="13" t="s">
        <v>27</v>
      </c>
      <c r="D149" s="13" t="s">
        <v>30</v>
      </c>
      <c r="E149" s="13" t="s">
        <v>17</v>
      </c>
      <c r="F149" s="13">
        <v>69.02</v>
      </c>
      <c r="G149" s="13">
        <v>1</v>
      </c>
      <c r="H149" s="13">
        <v>69.02</v>
      </c>
      <c r="I149" s="13" t="s">
        <v>32</v>
      </c>
      <c r="J149" s="13">
        <v>4.7</v>
      </c>
    </row>
    <row r="150" spans="1:10" ht="15.75" x14ac:dyDescent="0.25">
      <c r="A150" s="10">
        <v>45720</v>
      </c>
      <c r="B150" s="11" t="s">
        <v>38</v>
      </c>
      <c r="C150" s="11" t="s">
        <v>39</v>
      </c>
      <c r="D150" s="11" t="s">
        <v>30</v>
      </c>
      <c r="E150" s="11" t="s">
        <v>22</v>
      </c>
      <c r="F150" s="11">
        <v>49.85</v>
      </c>
      <c r="G150" s="11">
        <v>3</v>
      </c>
      <c r="H150" s="11">
        <v>149.55000000000001</v>
      </c>
      <c r="I150" s="11" t="s">
        <v>18</v>
      </c>
      <c r="J150" s="11">
        <v>3.8</v>
      </c>
    </row>
    <row r="151" spans="1:10" ht="15.75" x14ac:dyDescent="0.25">
      <c r="A151" s="12">
        <v>45807</v>
      </c>
      <c r="B151" s="13" t="s">
        <v>15</v>
      </c>
      <c r="C151" s="13" t="s">
        <v>16</v>
      </c>
      <c r="D151" s="13" t="s">
        <v>12</v>
      </c>
      <c r="E151" s="13" t="s">
        <v>22</v>
      </c>
      <c r="F151" s="13">
        <v>73.13</v>
      </c>
      <c r="G151" s="13">
        <v>3</v>
      </c>
      <c r="H151" s="13">
        <v>219.39</v>
      </c>
      <c r="I151" s="13" t="s">
        <v>18</v>
      </c>
      <c r="J151" s="13">
        <v>4.9000000000000004</v>
      </c>
    </row>
    <row r="152" spans="1:10" ht="15.75" x14ac:dyDescent="0.25">
      <c r="A152" s="10">
        <v>45807</v>
      </c>
      <c r="B152" s="11" t="s">
        <v>24</v>
      </c>
      <c r="C152" s="11" t="s">
        <v>25</v>
      </c>
      <c r="D152" s="11" t="s">
        <v>12</v>
      </c>
      <c r="E152" s="11" t="s">
        <v>31</v>
      </c>
      <c r="F152" s="11">
        <v>43.04</v>
      </c>
      <c r="G152" s="11">
        <v>2</v>
      </c>
      <c r="H152" s="11">
        <v>86.08</v>
      </c>
      <c r="I152" s="11" t="s">
        <v>14</v>
      </c>
      <c r="J152" s="11">
        <v>4.3</v>
      </c>
    </row>
    <row r="153" spans="1:10" ht="15.75" x14ac:dyDescent="0.25">
      <c r="A153" s="12">
        <v>45769</v>
      </c>
      <c r="B153" s="13" t="s">
        <v>19</v>
      </c>
      <c r="C153" s="13" t="s">
        <v>20</v>
      </c>
      <c r="D153" s="13" t="s">
        <v>29</v>
      </c>
      <c r="E153" s="13" t="s">
        <v>36</v>
      </c>
      <c r="F153" s="13">
        <v>76.63</v>
      </c>
      <c r="G153" s="13">
        <v>3</v>
      </c>
      <c r="H153" s="13">
        <v>229.89</v>
      </c>
      <c r="I153" s="13" t="s">
        <v>18</v>
      </c>
      <c r="J153" s="13">
        <v>4.0999999999999996</v>
      </c>
    </row>
    <row r="154" spans="1:10" ht="15.75" x14ac:dyDescent="0.25">
      <c r="A154" s="10">
        <v>45711</v>
      </c>
      <c r="B154" s="11" t="s">
        <v>24</v>
      </c>
      <c r="C154" s="11" t="s">
        <v>25</v>
      </c>
      <c r="D154" s="11" t="s">
        <v>30</v>
      </c>
      <c r="E154" s="11" t="s">
        <v>41</v>
      </c>
      <c r="F154" s="11">
        <v>39.57</v>
      </c>
      <c r="G154" s="11">
        <v>1</v>
      </c>
      <c r="H154" s="11">
        <v>39.57</v>
      </c>
      <c r="I154" s="11" t="s">
        <v>32</v>
      </c>
      <c r="J154" s="11">
        <v>3.8</v>
      </c>
    </row>
    <row r="155" spans="1:10" ht="15.75" x14ac:dyDescent="0.25">
      <c r="A155" s="12">
        <v>45769</v>
      </c>
      <c r="B155" s="13" t="s">
        <v>19</v>
      </c>
      <c r="C155" s="13" t="s">
        <v>20</v>
      </c>
      <c r="D155" s="13" t="s">
        <v>12</v>
      </c>
      <c r="E155" s="13" t="s">
        <v>41</v>
      </c>
      <c r="F155" s="13">
        <v>22.31</v>
      </c>
      <c r="G155" s="13">
        <v>3</v>
      </c>
      <c r="H155" s="13">
        <v>66.930000000000007</v>
      </c>
      <c r="I155" s="13" t="s">
        <v>14</v>
      </c>
      <c r="J155" s="13">
        <v>4.0999999999999996</v>
      </c>
    </row>
    <row r="156" spans="1:10" ht="15.75" x14ac:dyDescent="0.25">
      <c r="A156" s="10">
        <v>45820</v>
      </c>
      <c r="B156" s="11" t="s">
        <v>40</v>
      </c>
      <c r="C156" s="11" t="s">
        <v>11</v>
      </c>
      <c r="D156" s="11" t="s">
        <v>21</v>
      </c>
      <c r="E156" s="11" t="s">
        <v>13</v>
      </c>
      <c r="F156" s="11">
        <v>63.33</v>
      </c>
      <c r="G156" s="11">
        <v>3</v>
      </c>
      <c r="H156" s="11">
        <v>189.99</v>
      </c>
      <c r="I156" s="11" t="s">
        <v>32</v>
      </c>
      <c r="J156" s="11">
        <v>4.9000000000000004</v>
      </c>
    </row>
    <row r="157" spans="1:10" ht="15.75" x14ac:dyDescent="0.25">
      <c r="A157" s="12">
        <v>45785</v>
      </c>
      <c r="B157" s="13" t="s">
        <v>19</v>
      </c>
      <c r="C157" s="13" t="s">
        <v>20</v>
      </c>
      <c r="D157" s="13" t="s">
        <v>29</v>
      </c>
      <c r="E157" s="13" t="s">
        <v>13</v>
      </c>
      <c r="F157" s="13">
        <v>40.72</v>
      </c>
      <c r="G157" s="13">
        <v>1</v>
      </c>
      <c r="H157" s="13">
        <v>40.72</v>
      </c>
      <c r="I157" s="13" t="s">
        <v>14</v>
      </c>
      <c r="J157" s="13">
        <v>4.0999999999999996</v>
      </c>
    </row>
    <row r="158" spans="1:10" ht="15.75" x14ac:dyDescent="0.25">
      <c r="A158" s="10">
        <v>45824</v>
      </c>
      <c r="B158" s="11" t="s">
        <v>33</v>
      </c>
      <c r="C158" s="11" t="s">
        <v>34</v>
      </c>
      <c r="D158" s="11" t="s">
        <v>28</v>
      </c>
      <c r="E158" s="11" t="s">
        <v>37</v>
      </c>
      <c r="F158" s="11">
        <v>79.709999999999994</v>
      </c>
      <c r="G158" s="11">
        <v>3</v>
      </c>
      <c r="H158" s="11">
        <v>239.13</v>
      </c>
      <c r="I158" s="11" t="s">
        <v>32</v>
      </c>
      <c r="J158" s="11">
        <v>4.8</v>
      </c>
    </row>
    <row r="159" spans="1:10" ht="15.75" x14ac:dyDescent="0.25">
      <c r="A159" s="12">
        <v>45715</v>
      </c>
      <c r="B159" s="13" t="s">
        <v>26</v>
      </c>
      <c r="C159" s="13" t="s">
        <v>27</v>
      </c>
      <c r="D159" s="13" t="s">
        <v>29</v>
      </c>
      <c r="E159" s="13" t="s">
        <v>37</v>
      </c>
      <c r="F159" s="13">
        <v>42.2</v>
      </c>
      <c r="G159" s="13">
        <v>3</v>
      </c>
      <c r="H159" s="13">
        <v>126.6</v>
      </c>
      <c r="I159" s="13" t="s">
        <v>23</v>
      </c>
      <c r="J159" s="13">
        <v>3.8</v>
      </c>
    </row>
    <row r="160" spans="1:10" ht="15.75" x14ac:dyDescent="0.25">
      <c r="A160" s="10">
        <v>45775</v>
      </c>
      <c r="B160" s="11" t="s">
        <v>26</v>
      </c>
      <c r="C160" s="11" t="s">
        <v>27</v>
      </c>
      <c r="D160" s="11" t="s">
        <v>30</v>
      </c>
      <c r="E160" s="11" t="s">
        <v>37</v>
      </c>
      <c r="F160" s="11">
        <v>98.48</v>
      </c>
      <c r="G160" s="11">
        <v>3</v>
      </c>
      <c r="H160" s="11">
        <v>295.44</v>
      </c>
      <c r="I160" s="11" t="s">
        <v>23</v>
      </c>
      <c r="J160" s="11">
        <v>3.5</v>
      </c>
    </row>
    <row r="161" spans="1:10" ht="15.75" x14ac:dyDescent="0.25">
      <c r="A161" s="12">
        <v>45672</v>
      </c>
      <c r="B161" s="13" t="s">
        <v>10</v>
      </c>
      <c r="C161" s="13" t="s">
        <v>11</v>
      </c>
      <c r="D161" s="13" t="s">
        <v>28</v>
      </c>
      <c r="E161" s="13" t="s">
        <v>36</v>
      </c>
      <c r="F161" s="13">
        <v>46.13</v>
      </c>
      <c r="G161" s="13">
        <v>1</v>
      </c>
      <c r="H161" s="13">
        <v>46.13</v>
      </c>
      <c r="I161" s="13" t="s">
        <v>23</v>
      </c>
      <c r="J161" s="13">
        <v>3.7</v>
      </c>
    </row>
    <row r="162" spans="1:10" ht="15.75" x14ac:dyDescent="0.25">
      <c r="A162" s="10">
        <v>45706</v>
      </c>
      <c r="B162" s="11" t="s">
        <v>40</v>
      </c>
      <c r="C162" s="11" t="s">
        <v>11</v>
      </c>
      <c r="D162" s="11" t="s">
        <v>12</v>
      </c>
      <c r="E162" s="11" t="s">
        <v>41</v>
      </c>
      <c r="F162" s="11">
        <v>77.64</v>
      </c>
      <c r="G162" s="11">
        <v>2</v>
      </c>
      <c r="H162" s="11">
        <v>155.28</v>
      </c>
      <c r="I162" s="11" t="s">
        <v>23</v>
      </c>
      <c r="J162" s="11">
        <v>3.6</v>
      </c>
    </row>
    <row r="163" spans="1:10" ht="15.75" x14ac:dyDescent="0.25">
      <c r="A163" s="12">
        <v>45799</v>
      </c>
      <c r="B163" s="13" t="s">
        <v>40</v>
      </c>
      <c r="C163" s="13" t="s">
        <v>11</v>
      </c>
      <c r="D163" s="13" t="s">
        <v>35</v>
      </c>
      <c r="E163" s="13" t="s">
        <v>37</v>
      </c>
      <c r="F163" s="13">
        <v>22.41</v>
      </c>
      <c r="G163" s="13">
        <v>1</v>
      </c>
      <c r="H163" s="13">
        <v>22.41</v>
      </c>
      <c r="I163" s="13" t="s">
        <v>14</v>
      </c>
      <c r="J163" s="13">
        <v>4.5999999999999996</v>
      </c>
    </row>
    <row r="164" spans="1:10" ht="15.75" x14ac:dyDescent="0.25">
      <c r="A164" s="10">
        <v>45685</v>
      </c>
      <c r="B164" s="11" t="s">
        <v>40</v>
      </c>
      <c r="C164" s="11" t="s">
        <v>11</v>
      </c>
      <c r="D164" s="11" t="s">
        <v>21</v>
      </c>
      <c r="E164" s="11" t="s">
        <v>22</v>
      </c>
      <c r="F164" s="11">
        <v>51.52</v>
      </c>
      <c r="G164" s="11">
        <v>3</v>
      </c>
      <c r="H164" s="11">
        <v>154.56</v>
      </c>
      <c r="I164" s="11" t="s">
        <v>18</v>
      </c>
      <c r="J164" s="11">
        <v>4.8</v>
      </c>
    </row>
    <row r="165" spans="1:10" ht="15.75" x14ac:dyDescent="0.25">
      <c r="A165" s="12">
        <v>45807</v>
      </c>
      <c r="B165" s="13" t="s">
        <v>33</v>
      </c>
      <c r="C165" s="13" t="s">
        <v>34</v>
      </c>
      <c r="D165" s="13" t="s">
        <v>29</v>
      </c>
      <c r="E165" s="13" t="s">
        <v>22</v>
      </c>
      <c r="F165" s="13">
        <v>58.01</v>
      </c>
      <c r="G165" s="13">
        <v>3</v>
      </c>
      <c r="H165" s="13">
        <v>174.03</v>
      </c>
      <c r="I165" s="13" t="s">
        <v>32</v>
      </c>
      <c r="J165" s="13">
        <v>3.9</v>
      </c>
    </row>
    <row r="166" spans="1:10" ht="15.75" x14ac:dyDescent="0.25">
      <c r="A166" s="10">
        <v>45726</v>
      </c>
      <c r="B166" s="11" t="s">
        <v>40</v>
      </c>
      <c r="C166" s="11" t="s">
        <v>11</v>
      </c>
      <c r="D166" s="11" t="s">
        <v>29</v>
      </c>
      <c r="E166" s="11" t="s">
        <v>13</v>
      </c>
      <c r="F166" s="11">
        <v>79.03</v>
      </c>
      <c r="G166" s="11">
        <v>2</v>
      </c>
      <c r="H166" s="11">
        <v>158.06</v>
      </c>
      <c r="I166" s="11" t="s">
        <v>23</v>
      </c>
      <c r="J166" s="11">
        <v>3.9</v>
      </c>
    </row>
    <row r="167" spans="1:10" ht="15.75" x14ac:dyDescent="0.25">
      <c r="A167" s="12">
        <v>45753</v>
      </c>
      <c r="B167" s="13" t="s">
        <v>10</v>
      </c>
      <c r="C167" s="13" t="s">
        <v>11</v>
      </c>
      <c r="D167" s="13" t="s">
        <v>30</v>
      </c>
      <c r="E167" s="13" t="s">
        <v>37</v>
      </c>
      <c r="F167" s="13">
        <v>92.57</v>
      </c>
      <c r="G167" s="13">
        <v>1</v>
      </c>
      <c r="H167" s="13">
        <v>92.57</v>
      </c>
      <c r="I167" s="13" t="s">
        <v>32</v>
      </c>
      <c r="J167" s="13">
        <v>4.3</v>
      </c>
    </row>
    <row r="168" spans="1:10" ht="15.75" x14ac:dyDescent="0.25">
      <c r="A168" s="10">
        <v>45674</v>
      </c>
      <c r="B168" s="11" t="s">
        <v>38</v>
      </c>
      <c r="C168" s="11" t="s">
        <v>39</v>
      </c>
      <c r="D168" s="11" t="s">
        <v>21</v>
      </c>
      <c r="E168" s="11" t="s">
        <v>17</v>
      </c>
      <c r="F168" s="11">
        <v>73.209999999999994</v>
      </c>
      <c r="G168" s="11">
        <v>3</v>
      </c>
      <c r="H168" s="11">
        <v>219.63</v>
      </c>
      <c r="I168" s="11" t="s">
        <v>18</v>
      </c>
      <c r="J168" s="11">
        <v>3.6</v>
      </c>
    </row>
    <row r="169" spans="1:10" ht="15.75" x14ac:dyDescent="0.25">
      <c r="A169" s="12">
        <v>45743</v>
      </c>
      <c r="B169" s="13" t="s">
        <v>26</v>
      </c>
      <c r="C169" s="13" t="s">
        <v>27</v>
      </c>
      <c r="D169" s="13" t="s">
        <v>29</v>
      </c>
      <c r="E169" s="13" t="s">
        <v>37</v>
      </c>
      <c r="F169" s="13">
        <v>92.29</v>
      </c>
      <c r="G169" s="13">
        <v>3</v>
      </c>
      <c r="H169" s="13">
        <v>276.87</v>
      </c>
      <c r="I169" s="13" t="s">
        <v>32</v>
      </c>
      <c r="J169" s="13">
        <v>4.3</v>
      </c>
    </row>
    <row r="170" spans="1:10" ht="15.75" x14ac:dyDescent="0.25">
      <c r="A170" s="10">
        <v>45672</v>
      </c>
      <c r="B170" s="11" t="s">
        <v>24</v>
      </c>
      <c r="C170" s="11" t="s">
        <v>25</v>
      </c>
      <c r="D170" s="11" t="s">
        <v>21</v>
      </c>
      <c r="E170" s="11" t="s">
        <v>13</v>
      </c>
      <c r="F170" s="11">
        <v>85.28</v>
      </c>
      <c r="G170" s="11">
        <v>1</v>
      </c>
      <c r="H170" s="11">
        <v>85.28</v>
      </c>
      <c r="I170" s="11" t="s">
        <v>14</v>
      </c>
      <c r="J170" s="11">
        <v>4.0999999999999996</v>
      </c>
    </row>
    <row r="171" spans="1:10" ht="15.75" x14ac:dyDescent="0.25">
      <c r="A171" s="12">
        <v>45827</v>
      </c>
      <c r="B171" s="13" t="s">
        <v>10</v>
      </c>
      <c r="C171" s="13" t="s">
        <v>11</v>
      </c>
      <c r="D171" s="13" t="s">
        <v>28</v>
      </c>
      <c r="E171" s="13" t="s">
        <v>36</v>
      </c>
      <c r="F171" s="13">
        <v>28.33</v>
      </c>
      <c r="G171" s="13">
        <v>2</v>
      </c>
      <c r="H171" s="13">
        <v>56.66</v>
      </c>
      <c r="I171" s="13" t="s">
        <v>32</v>
      </c>
      <c r="J171" s="13">
        <v>3.7</v>
      </c>
    </row>
    <row r="172" spans="1:10" ht="15.75" x14ac:dyDescent="0.25">
      <c r="A172" s="10">
        <v>45806</v>
      </c>
      <c r="B172" s="11" t="s">
        <v>19</v>
      </c>
      <c r="C172" s="11" t="s">
        <v>20</v>
      </c>
      <c r="D172" s="11" t="s">
        <v>28</v>
      </c>
      <c r="E172" s="11" t="s">
        <v>17</v>
      </c>
      <c r="F172" s="11">
        <v>67.69</v>
      </c>
      <c r="G172" s="11">
        <v>2</v>
      </c>
      <c r="H172" s="11">
        <v>135.38</v>
      </c>
      <c r="I172" s="11" t="s">
        <v>18</v>
      </c>
      <c r="J172" s="11">
        <v>3.6</v>
      </c>
    </row>
    <row r="173" spans="1:10" ht="15.75" x14ac:dyDescent="0.25">
      <c r="A173" s="12">
        <v>45681</v>
      </c>
      <c r="B173" s="13" t="s">
        <v>24</v>
      </c>
      <c r="C173" s="13" t="s">
        <v>25</v>
      </c>
      <c r="D173" s="13" t="s">
        <v>21</v>
      </c>
      <c r="E173" s="13" t="s">
        <v>17</v>
      </c>
      <c r="F173" s="13">
        <v>34.700000000000003</v>
      </c>
      <c r="G173" s="13">
        <v>3</v>
      </c>
      <c r="H173" s="13">
        <v>104.1</v>
      </c>
      <c r="I173" s="13" t="s">
        <v>23</v>
      </c>
      <c r="J173" s="13">
        <v>3.9</v>
      </c>
    </row>
    <row r="174" spans="1:10" ht="15.75" x14ac:dyDescent="0.25">
      <c r="A174" s="10">
        <v>45690</v>
      </c>
      <c r="B174" s="11" t="s">
        <v>24</v>
      </c>
      <c r="C174" s="11" t="s">
        <v>25</v>
      </c>
      <c r="D174" s="11" t="s">
        <v>12</v>
      </c>
      <c r="E174" s="11" t="s">
        <v>13</v>
      </c>
      <c r="F174" s="11">
        <v>51.81</v>
      </c>
      <c r="G174" s="11">
        <v>1</v>
      </c>
      <c r="H174" s="11">
        <v>51.81</v>
      </c>
      <c r="I174" s="11" t="s">
        <v>18</v>
      </c>
      <c r="J174" s="11">
        <v>4.3</v>
      </c>
    </row>
    <row r="175" spans="1:10" ht="15.75" x14ac:dyDescent="0.25">
      <c r="A175" s="12">
        <v>45822</v>
      </c>
      <c r="B175" s="13" t="s">
        <v>15</v>
      </c>
      <c r="C175" s="13" t="s">
        <v>16</v>
      </c>
      <c r="D175" s="13" t="s">
        <v>35</v>
      </c>
      <c r="E175" s="13" t="s">
        <v>36</v>
      </c>
      <c r="F175" s="13">
        <v>88.28</v>
      </c>
      <c r="G175" s="13">
        <v>3</v>
      </c>
      <c r="H175" s="13">
        <v>264.83999999999997</v>
      </c>
      <c r="I175" s="13" t="s">
        <v>18</v>
      </c>
      <c r="J175" s="13">
        <v>3.8</v>
      </c>
    </row>
    <row r="176" spans="1:10" ht="15.75" x14ac:dyDescent="0.25">
      <c r="A176" s="10">
        <v>45738</v>
      </c>
      <c r="B176" s="11" t="s">
        <v>40</v>
      </c>
      <c r="C176" s="11" t="s">
        <v>11</v>
      </c>
      <c r="D176" s="11" t="s">
        <v>30</v>
      </c>
      <c r="E176" s="11" t="s">
        <v>22</v>
      </c>
      <c r="F176" s="11">
        <v>16.48</v>
      </c>
      <c r="G176" s="11">
        <v>2</v>
      </c>
      <c r="H176" s="11">
        <v>32.96</v>
      </c>
      <c r="I176" s="11" t="s">
        <v>32</v>
      </c>
      <c r="J176" s="11">
        <v>4.2</v>
      </c>
    </row>
    <row r="177" spans="1:10" ht="15.75" x14ac:dyDescent="0.25">
      <c r="A177" s="12">
        <v>45737</v>
      </c>
      <c r="B177" s="13" t="s">
        <v>40</v>
      </c>
      <c r="C177" s="13" t="s">
        <v>11</v>
      </c>
      <c r="D177" s="13" t="s">
        <v>30</v>
      </c>
      <c r="E177" s="13" t="s">
        <v>22</v>
      </c>
      <c r="F177" s="13">
        <v>39.01</v>
      </c>
      <c r="G177" s="13">
        <v>3</v>
      </c>
      <c r="H177" s="13">
        <v>117.03</v>
      </c>
      <c r="I177" s="13" t="s">
        <v>18</v>
      </c>
      <c r="J177" s="13">
        <v>4.5</v>
      </c>
    </row>
    <row r="178" spans="1:10" ht="15.75" x14ac:dyDescent="0.25">
      <c r="A178" s="10">
        <v>45685</v>
      </c>
      <c r="B178" s="11" t="s">
        <v>10</v>
      </c>
      <c r="C178" s="11" t="s">
        <v>11</v>
      </c>
      <c r="D178" s="11" t="s">
        <v>30</v>
      </c>
      <c r="E178" s="11" t="s">
        <v>31</v>
      </c>
      <c r="F178" s="11">
        <v>49.53</v>
      </c>
      <c r="G178" s="11">
        <v>1</v>
      </c>
      <c r="H178" s="11">
        <v>49.53</v>
      </c>
      <c r="I178" s="11" t="s">
        <v>32</v>
      </c>
      <c r="J178" s="11">
        <v>4.2</v>
      </c>
    </row>
    <row r="179" spans="1:10" ht="15.75" x14ac:dyDescent="0.25">
      <c r="A179" s="12">
        <v>45776</v>
      </c>
      <c r="B179" s="13" t="s">
        <v>26</v>
      </c>
      <c r="C179" s="13" t="s">
        <v>27</v>
      </c>
      <c r="D179" s="13" t="s">
        <v>29</v>
      </c>
      <c r="E179" s="13" t="s">
        <v>36</v>
      </c>
      <c r="F179" s="13">
        <v>75.040000000000006</v>
      </c>
      <c r="G179" s="13">
        <v>1</v>
      </c>
      <c r="H179" s="13">
        <v>75.040000000000006</v>
      </c>
      <c r="I179" s="13" t="s">
        <v>18</v>
      </c>
      <c r="J179" s="13">
        <v>3.7</v>
      </c>
    </row>
    <row r="180" spans="1:10" ht="15.75" x14ac:dyDescent="0.25">
      <c r="A180" s="10">
        <v>45814</v>
      </c>
      <c r="B180" s="11" t="s">
        <v>40</v>
      </c>
      <c r="C180" s="11" t="s">
        <v>11</v>
      </c>
      <c r="D180" s="11" t="s">
        <v>21</v>
      </c>
      <c r="E180" s="11" t="s">
        <v>13</v>
      </c>
      <c r="F180" s="11">
        <v>96.65</v>
      </c>
      <c r="G180" s="11">
        <v>3</v>
      </c>
      <c r="H180" s="11">
        <v>289.95</v>
      </c>
      <c r="I180" s="11" t="s">
        <v>18</v>
      </c>
      <c r="J180" s="11">
        <v>4</v>
      </c>
    </row>
    <row r="181" spans="1:10" ht="15.75" x14ac:dyDescent="0.25">
      <c r="A181" s="12">
        <v>45733</v>
      </c>
      <c r="B181" s="13" t="s">
        <v>15</v>
      </c>
      <c r="C181" s="13" t="s">
        <v>16</v>
      </c>
      <c r="D181" s="13" t="s">
        <v>30</v>
      </c>
      <c r="E181" s="13" t="s">
        <v>22</v>
      </c>
      <c r="F181" s="13">
        <v>17.11</v>
      </c>
      <c r="G181" s="13">
        <v>3</v>
      </c>
      <c r="H181" s="13">
        <v>51.33</v>
      </c>
      <c r="I181" s="13" t="s">
        <v>23</v>
      </c>
      <c r="J181" s="13">
        <v>4.8</v>
      </c>
    </row>
    <row r="182" spans="1:10" ht="15.75" x14ac:dyDescent="0.25">
      <c r="A182" s="10">
        <v>45819</v>
      </c>
      <c r="B182" s="11" t="s">
        <v>26</v>
      </c>
      <c r="C182" s="11" t="s">
        <v>27</v>
      </c>
      <c r="D182" s="11" t="s">
        <v>12</v>
      </c>
      <c r="E182" s="11" t="s">
        <v>22</v>
      </c>
      <c r="F182" s="11">
        <v>13.14</v>
      </c>
      <c r="G182" s="11">
        <v>1</v>
      </c>
      <c r="H182" s="11">
        <v>13.14</v>
      </c>
      <c r="I182" s="11" t="s">
        <v>18</v>
      </c>
      <c r="J182" s="11">
        <v>4.2</v>
      </c>
    </row>
    <row r="183" spans="1:10" ht="15.75" x14ac:dyDescent="0.25">
      <c r="A183" s="12">
        <v>45711</v>
      </c>
      <c r="B183" s="13" t="s">
        <v>40</v>
      </c>
      <c r="C183" s="13" t="s">
        <v>11</v>
      </c>
      <c r="D183" s="13" t="s">
        <v>35</v>
      </c>
      <c r="E183" s="13" t="s">
        <v>13</v>
      </c>
      <c r="F183" s="13">
        <v>29.61</v>
      </c>
      <c r="G183" s="13">
        <v>3</v>
      </c>
      <c r="H183" s="13">
        <v>88.83</v>
      </c>
      <c r="I183" s="13" t="s">
        <v>32</v>
      </c>
      <c r="J183" s="13">
        <v>4.3</v>
      </c>
    </row>
    <row r="184" spans="1:10" ht="15.75" x14ac:dyDescent="0.25">
      <c r="A184" s="10">
        <v>45705</v>
      </c>
      <c r="B184" s="11" t="s">
        <v>38</v>
      </c>
      <c r="C184" s="11" t="s">
        <v>39</v>
      </c>
      <c r="D184" s="11" t="s">
        <v>29</v>
      </c>
      <c r="E184" s="11" t="s">
        <v>37</v>
      </c>
      <c r="F184" s="11">
        <v>35.5</v>
      </c>
      <c r="G184" s="11">
        <v>2</v>
      </c>
      <c r="H184" s="11">
        <v>71</v>
      </c>
      <c r="I184" s="11" t="s">
        <v>18</v>
      </c>
      <c r="J184" s="11">
        <v>4.7</v>
      </c>
    </row>
    <row r="185" spans="1:10" ht="15.75" x14ac:dyDescent="0.25">
      <c r="A185" s="12">
        <v>45772</v>
      </c>
      <c r="B185" s="13" t="s">
        <v>26</v>
      </c>
      <c r="C185" s="13" t="s">
        <v>27</v>
      </c>
      <c r="D185" s="13" t="s">
        <v>30</v>
      </c>
      <c r="E185" s="13" t="s">
        <v>17</v>
      </c>
      <c r="F185" s="13">
        <v>77.7</v>
      </c>
      <c r="G185" s="13">
        <v>1</v>
      </c>
      <c r="H185" s="13">
        <v>77.7</v>
      </c>
      <c r="I185" s="13" t="s">
        <v>18</v>
      </c>
      <c r="J185" s="13">
        <v>4.3</v>
      </c>
    </row>
    <row r="186" spans="1:10" ht="15.75" x14ac:dyDescent="0.25">
      <c r="A186" s="10">
        <v>45770</v>
      </c>
      <c r="B186" s="11" t="s">
        <v>10</v>
      </c>
      <c r="C186" s="11" t="s">
        <v>11</v>
      </c>
      <c r="D186" s="11" t="s">
        <v>30</v>
      </c>
      <c r="E186" s="11" t="s">
        <v>41</v>
      </c>
      <c r="F186" s="11">
        <v>49.23</v>
      </c>
      <c r="G186" s="11">
        <v>2</v>
      </c>
      <c r="H186" s="11">
        <v>98.46</v>
      </c>
      <c r="I186" s="11" t="s">
        <v>18</v>
      </c>
      <c r="J186" s="11">
        <v>3.9</v>
      </c>
    </row>
    <row r="187" spans="1:10" ht="15.75" x14ac:dyDescent="0.25">
      <c r="A187" s="12">
        <v>45771</v>
      </c>
      <c r="B187" s="13" t="s">
        <v>10</v>
      </c>
      <c r="C187" s="13" t="s">
        <v>11</v>
      </c>
      <c r="D187" s="13" t="s">
        <v>30</v>
      </c>
      <c r="E187" s="13" t="s">
        <v>41</v>
      </c>
      <c r="F187" s="13">
        <v>30.31</v>
      </c>
      <c r="G187" s="13">
        <v>1</v>
      </c>
      <c r="H187" s="13">
        <v>30.31</v>
      </c>
      <c r="I187" s="13" t="s">
        <v>18</v>
      </c>
      <c r="J187" s="13">
        <v>3.9</v>
      </c>
    </row>
    <row r="188" spans="1:10" ht="15.75" x14ac:dyDescent="0.25">
      <c r="A188" s="10">
        <v>45828</v>
      </c>
      <c r="B188" s="11" t="s">
        <v>19</v>
      </c>
      <c r="C188" s="11" t="s">
        <v>20</v>
      </c>
      <c r="D188" s="11" t="s">
        <v>35</v>
      </c>
      <c r="E188" s="11" t="s">
        <v>17</v>
      </c>
      <c r="F188" s="11">
        <v>84.73</v>
      </c>
      <c r="G188" s="11">
        <v>3</v>
      </c>
      <c r="H188" s="11">
        <v>254.19</v>
      </c>
      <c r="I188" s="11" t="s">
        <v>23</v>
      </c>
      <c r="J188" s="11">
        <v>3.8</v>
      </c>
    </row>
    <row r="189" spans="1:10" ht="15.75" x14ac:dyDescent="0.25">
      <c r="A189" s="12">
        <v>45799</v>
      </c>
      <c r="B189" s="13" t="s">
        <v>24</v>
      </c>
      <c r="C189" s="13" t="s">
        <v>25</v>
      </c>
      <c r="D189" s="13" t="s">
        <v>29</v>
      </c>
      <c r="E189" s="13" t="s">
        <v>13</v>
      </c>
      <c r="F189" s="13">
        <v>23.3</v>
      </c>
      <c r="G189" s="13">
        <v>1</v>
      </c>
      <c r="H189" s="13">
        <v>23.3</v>
      </c>
      <c r="I189" s="13" t="s">
        <v>32</v>
      </c>
      <c r="J189" s="13">
        <v>4.9000000000000004</v>
      </c>
    </row>
    <row r="190" spans="1:10" ht="15.75" x14ac:dyDescent="0.25">
      <c r="A190" s="10">
        <v>45720</v>
      </c>
      <c r="B190" s="11" t="s">
        <v>10</v>
      </c>
      <c r="C190" s="11" t="s">
        <v>11</v>
      </c>
      <c r="D190" s="11" t="s">
        <v>21</v>
      </c>
      <c r="E190" s="11" t="s">
        <v>13</v>
      </c>
      <c r="F190" s="11">
        <v>51.84</v>
      </c>
      <c r="G190" s="11">
        <v>2</v>
      </c>
      <c r="H190" s="11">
        <v>103.68</v>
      </c>
      <c r="I190" s="11" t="s">
        <v>18</v>
      </c>
      <c r="J190" s="11">
        <v>3.8</v>
      </c>
    </row>
    <row r="191" spans="1:10" ht="15.75" x14ac:dyDescent="0.25">
      <c r="A191" s="12">
        <v>45664</v>
      </c>
      <c r="B191" s="13" t="s">
        <v>26</v>
      </c>
      <c r="C191" s="13" t="s">
        <v>27</v>
      </c>
      <c r="D191" s="13" t="s">
        <v>35</v>
      </c>
      <c r="E191" s="13" t="s">
        <v>13</v>
      </c>
      <c r="F191" s="13">
        <v>86.05</v>
      </c>
      <c r="G191" s="13">
        <v>3</v>
      </c>
      <c r="H191" s="13">
        <v>258.14999999999998</v>
      </c>
      <c r="I191" s="13" t="s">
        <v>18</v>
      </c>
      <c r="J191" s="13">
        <v>3.8</v>
      </c>
    </row>
    <row r="192" spans="1:10" ht="15.75" x14ac:dyDescent="0.25">
      <c r="A192" s="10">
        <v>45745</v>
      </c>
      <c r="B192" s="11" t="s">
        <v>26</v>
      </c>
      <c r="C192" s="11" t="s">
        <v>27</v>
      </c>
      <c r="D192" s="11" t="s">
        <v>28</v>
      </c>
      <c r="E192" s="11" t="s">
        <v>36</v>
      </c>
      <c r="F192" s="11">
        <v>76.91</v>
      </c>
      <c r="G192" s="11">
        <v>3</v>
      </c>
      <c r="H192" s="11">
        <v>230.73</v>
      </c>
      <c r="I192" s="11" t="s">
        <v>23</v>
      </c>
      <c r="J192" s="11">
        <v>4.3</v>
      </c>
    </row>
    <row r="193" spans="1:10" ht="15.75" x14ac:dyDescent="0.25">
      <c r="A193" s="12">
        <v>45703</v>
      </c>
      <c r="B193" s="13" t="s">
        <v>19</v>
      </c>
      <c r="C193" s="13" t="s">
        <v>20</v>
      </c>
      <c r="D193" s="13" t="s">
        <v>29</v>
      </c>
      <c r="E193" s="13" t="s">
        <v>37</v>
      </c>
      <c r="F193" s="13">
        <v>54.96</v>
      </c>
      <c r="G193" s="13">
        <v>2</v>
      </c>
      <c r="H193" s="13">
        <v>109.92</v>
      </c>
      <c r="I193" s="13" t="s">
        <v>32</v>
      </c>
      <c r="J193" s="13">
        <v>4</v>
      </c>
    </row>
    <row r="194" spans="1:10" ht="15.75" x14ac:dyDescent="0.25">
      <c r="A194" s="10">
        <v>45730</v>
      </c>
      <c r="B194" s="11" t="s">
        <v>24</v>
      </c>
      <c r="C194" s="11" t="s">
        <v>25</v>
      </c>
      <c r="D194" s="11" t="s">
        <v>28</v>
      </c>
      <c r="E194" s="11" t="s">
        <v>22</v>
      </c>
      <c r="F194" s="11">
        <v>85.34</v>
      </c>
      <c r="G194" s="11">
        <v>1</v>
      </c>
      <c r="H194" s="11">
        <v>85.34</v>
      </c>
      <c r="I194" s="11" t="s">
        <v>32</v>
      </c>
      <c r="J194" s="11">
        <v>4.7</v>
      </c>
    </row>
    <row r="195" spans="1:10" ht="15.75" x14ac:dyDescent="0.25">
      <c r="A195" s="12">
        <v>45677</v>
      </c>
      <c r="B195" s="13" t="s">
        <v>24</v>
      </c>
      <c r="C195" s="13" t="s">
        <v>25</v>
      </c>
      <c r="D195" s="13" t="s">
        <v>30</v>
      </c>
      <c r="E195" s="13" t="s">
        <v>37</v>
      </c>
      <c r="F195" s="13">
        <v>90.08</v>
      </c>
      <c r="G195" s="13">
        <v>2</v>
      </c>
      <c r="H195" s="13">
        <v>180.16</v>
      </c>
      <c r="I195" s="13" t="s">
        <v>23</v>
      </c>
      <c r="J195" s="13">
        <v>3.8</v>
      </c>
    </row>
    <row r="196" spans="1:10" ht="15.75" x14ac:dyDescent="0.25">
      <c r="A196" s="10">
        <v>45667</v>
      </c>
      <c r="B196" s="11" t="s">
        <v>24</v>
      </c>
      <c r="C196" s="11" t="s">
        <v>25</v>
      </c>
      <c r="D196" s="11" t="s">
        <v>30</v>
      </c>
      <c r="E196" s="11" t="s">
        <v>22</v>
      </c>
      <c r="F196" s="11">
        <v>78.83</v>
      </c>
      <c r="G196" s="11">
        <v>3</v>
      </c>
      <c r="H196" s="11">
        <v>236.49</v>
      </c>
      <c r="I196" s="11" t="s">
        <v>14</v>
      </c>
      <c r="J196" s="11">
        <v>4.2</v>
      </c>
    </row>
    <row r="197" spans="1:10" ht="15.75" x14ac:dyDescent="0.25">
      <c r="A197" s="12">
        <v>45803</v>
      </c>
      <c r="B197" s="13" t="s">
        <v>40</v>
      </c>
      <c r="C197" s="13" t="s">
        <v>11</v>
      </c>
      <c r="D197" s="13" t="s">
        <v>35</v>
      </c>
      <c r="E197" s="13" t="s">
        <v>13</v>
      </c>
      <c r="F197" s="13">
        <v>59.65</v>
      </c>
      <c r="G197" s="13">
        <v>2</v>
      </c>
      <c r="H197" s="13">
        <v>119.3</v>
      </c>
      <c r="I197" s="13" t="s">
        <v>18</v>
      </c>
      <c r="J197" s="13">
        <v>3.7</v>
      </c>
    </row>
    <row r="198" spans="1:10" ht="15.75" x14ac:dyDescent="0.25">
      <c r="A198" s="10">
        <v>45714</v>
      </c>
      <c r="B198" s="11" t="s">
        <v>40</v>
      </c>
      <c r="C198" s="11" t="s">
        <v>11</v>
      </c>
      <c r="D198" s="11" t="s">
        <v>29</v>
      </c>
      <c r="E198" s="11" t="s">
        <v>13</v>
      </c>
      <c r="F198" s="11">
        <v>57.28</v>
      </c>
      <c r="G198" s="11">
        <v>3</v>
      </c>
      <c r="H198" s="11">
        <v>171.84</v>
      </c>
      <c r="I198" s="11" t="s">
        <v>32</v>
      </c>
      <c r="J198" s="11">
        <v>3.8</v>
      </c>
    </row>
    <row r="199" spans="1:10" ht="15.75" x14ac:dyDescent="0.25">
      <c r="A199" s="12">
        <v>45826</v>
      </c>
      <c r="B199" s="13" t="s">
        <v>26</v>
      </c>
      <c r="C199" s="13" t="s">
        <v>27</v>
      </c>
      <c r="D199" s="13" t="s">
        <v>12</v>
      </c>
      <c r="E199" s="13" t="s">
        <v>17</v>
      </c>
      <c r="F199" s="13">
        <v>77.25</v>
      </c>
      <c r="G199" s="13">
        <v>1</v>
      </c>
      <c r="H199" s="13">
        <v>77.25</v>
      </c>
      <c r="I199" s="13" t="s">
        <v>23</v>
      </c>
      <c r="J199" s="13">
        <v>3.5</v>
      </c>
    </row>
    <row r="200" spans="1:10" ht="15.75" x14ac:dyDescent="0.25">
      <c r="A200" s="10">
        <v>45678</v>
      </c>
      <c r="B200" s="11" t="s">
        <v>38</v>
      </c>
      <c r="C200" s="11" t="s">
        <v>39</v>
      </c>
      <c r="D200" s="11" t="s">
        <v>35</v>
      </c>
      <c r="E200" s="11" t="s">
        <v>36</v>
      </c>
      <c r="F200" s="11">
        <v>11.28</v>
      </c>
      <c r="G200" s="11">
        <v>3</v>
      </c>
      <c r="H200" s="11">
        <v>33.840000000000003</v>
      </c>
      <c r="I200" s="11" t="s">
        <v>14</v>
      </c>
      <c r="J200" s="11">
        <v>4.0999999999999996</v>
      </c>
    </row>
    <row r="201" spans="1:10" ht="15.75" x14ac:dyDescent="0.25">
      <c r="A201" s="12">
        <v>45777</v>
      </c>
      <c r="B201" s="13" t="s">
        <v>15</v>
      </c>
      <c r="C201" s="13" t="s">
        <v>16</v>
      </c>
      <c r="D201" s="13" t="s">
        <v>28</v>
      </c>
      <c r="E201" s="13" t="s">
        <v>37</v>
      </c>
      <c r="F201" s="13">
        <v>98.91</v>
      </c>
      <c r="G201" s="13">
        <v>2</v>
      </c>
      <c r="H201" s="13">
        <v>197.82</v>
      </c>
      <c r="I201" s="13" t="s">
        <v>14</v>
      </c>
      <c r="J201" s="13">
        <v>3.7</v>
      </c>
    </row>
    <row r="202" spans="1:10" ht="15.75" x14ac:dyDescent="0.25">
      <c r="A202" s="10">
        <v>45830</v>
      </c>
      <c r="B202" s="11" t="s">
        <v>19</v>
      </c>
      <c r="C202" s="11" t="s">
        <v>20</v>
      </c>
      <c r="D202" s="11" t="s">
        <v>21</v>
      </c>
      <c r="E202" s="11" t="s">
        <v>22</v>
      </c>
      <c r="F202" s="11">
        <v>17.86</v>
      </c>
      <c r="G202" s="11">
        <v>1</v>
      </c>
      <c r="H202" s="11">
        <v>17.86</v>
      </c>
      <c r="I202" s="11" t="s">
        <v>23</v>
      </c>
      <c r="J202" s="11">
        <v>4.5999999999999996</v>
      </c>
    </row>
    <row r="203" spans="1:10" ht="15.75" x14ac:dyDescent="0.25">
      <c r="A203" s="12">
        <v>45813</v>
      </c>
      <c r="B203" s="13" t="s">
        <v>10</v>
      </c>
      <c r="C203" s="13" t="s">
        <v>11</v>
      </c>
      <c r="D203" s="13" t="s">
        <v>35</v>
      </c>
      <c r="E203" s="13" t="s">
        <v>41</v>
      </c>
      <c r="F203" s="13">
        <v>68.67</v>
      </c>
      <c r="G203" s="13">
        <v>1</v>
      </c>
      <c r="H203" s="13">
        <v>68.67</v>
      </c>
      <c r="I203" s="13" t="s">
        <v>32</v>
      </c>
      <c r="J203" s="13">
        <v>4</v>
      </c>
    </row>
    <row r="204" spans="1:10" ht="15.75" x14ac:dyDescent="0.25">
      <c r="A204" s="10">
        <v>45726</v>
      </c>
      <c r="B204" s="11" t="s">
        <v>15</v>
      </c>
      <c r="C204" s="11" t="s">
        <v>16</v>
      </c>
      <c r="D204" s="11" t="s">
        <v>28</v>
      </c>
      <c r="E204" s="11" t="s">
        <v>17</v>
      </c>
      <c r="F204" s="11">
        <v>61.39</v>
      </c>
      <c r="G204" s="11">
        <v>2</v>
      </c>
      <c r="H204" s="11">
        <v>122.78</v>
      </c>
      <c r="I204" s="11" t="s">
        <v>32</v>
      </c>
      <c r="J204" s="11">
        <v>4.3</v>
      </c>
    </row>
    <row r="205" spans="1:10" ht="15.75" x14ac:dyDescent="0.25">
      <c r="A205" s="12">
        <v>45730</v>
      </c>
      <c r="B205" s="13" t="s">
        <v>10</v>
      </c>
      <c r="C205" s="13" t="s">
        <v>11</v>
      </c>
      <c r="D205" s="13" t="s">
        <v>12</v>
      </c>
      <c r="E205" s="13" t="s">
        <v>37</v>
      </c>
      <c r="F205" s="13">
        <v>45.03</v>
      </c>
      <c r="G205" s="13">
        <v>3</v>
      </c>
      <c r="H205" s="13">
        <v>135.09</v>
      </c>
      <c r="I205" s="13" t="s">
        <v>23</v>
      </c>
      <c r="J205" s="13">
        <v>4.3</v>
      </c>
    </row>
    <row r="206" spans="1:10" ht="15.75" x14ac:dyDescent="0.25">
      <c r="A206" s="10">
        <v>45724</v>
      </c>
      <c r="B206" s="11" t="s">
        <v>15</v>
      </c>
      <c r="C206" s="11" t="s">
        <v>16</v>
      </c>
      <c r="D206" s="11" t="s">
        <v>30</v>
      </c>
      <c r="E206" s="11" t="s">
        <v>13</v>
      </c>
      <c r="F206" s="11">
        <v>91.62</v>
      </c>
      <c r="G206" s="11">
        <v>3</v>
      </c>
      <c r="H206" s="11">
        <v>274.86</v>
      </c>
      <c r="I206" s="11" t="s">
        <v>32</v>
      </c>
      <c r="J206" s="11">
        <v>3.6</v>
      </c>
    </row>
    <row r="207" spans="1:10" ht="15.75" x14ac:dyDescent="0.25">
      <c r="A207" s="12">
        <v>45690</v>
      </c>
      <c r="B207" s="13" t="s">
        <v>24</v>
      </c>
      <c r="C207" s="13" t="s">
        <v>25</v>
      </c>
      <c r="D207" s="13" t="s">
        <v>28</v>
      </c>
      <c r="E207" s="13" t="s">
        <v>13</v>
      </c>
      <c r="F207" s="13">
        <v>35.56</v>
      </c>
      <c r="G207" s="13">
        <v>2</v>
      </c>
      <c r="H207" s="13">
        <v>71.12</v>
      </c>
      <c r="I207" s="13" t="s">
        <v>14</v>
      </c>
      <c r="J207" s="13">
        <v>3.9</v>
      </c>
    </row>
    <row r="208" spans="1:10" ht="15.75" x14ac:dyDescent="0.25">
      <c r="A208" s="10">
        <v>45713</v>
      </c>
      <c r="B208" s="11" t="s">
        <v>19</v>
      </c>
      <c r="C208" s="11" t="s">
        <v>20</v>
      </c>
      <c r="D208" s="11" t="s">
        <v>28</v>
      </c>
      <c r="E208" s="11" t="s">
        <v>41</v>
      </c>
      <c r="F208" s="11">
        <v>94.1</v>
      </c>
      <c r="G208" s="11">
        <v>2</v>
      </c>
      <c r="H208" s="11">
        <v>188.2</v>
      </c>
      <c r="I208" s="11" t="s">
        <v>14</v>
      </c>
      <c r="J208" s="11">
        <v>3.9</v>
      </c>
    </row>
    <row r="209" spans="1:10" ht="15.75" x14ac:dyDescent="0.25">
      <c r="A209" s="12">
        <v>45816</v>
      </c>
      <c r="B209" s="13" t="s">
        <v>19</v>
      </c>
      <c r="C209" s="13" t="s">
        <v>20</v>
      </c>
      <c r="D209" s="13" t="s">
        <v>12</v>
      </c>
      <c r="E209" s="13" t="s">
        <v>22</v>
      </c>
      <c r="F209" s="13">
        <v>54.95</v>
      </c>
      <c r="G209" s="13">
        <v>2</v>
      </c>
      <c r="H209" s="13">
        <v>109.9</v>
      </c>
      <c r="I209" s="13" t="s">
        <v>18</v>
      </c>
      <c r="J209" s="13">
        <v>4.3</v>
      </c>
    </row>
    <row r="210" spans="1:10" ht="15.75" x14ac:dyDescent="0.25">
      <c r="A210" s="10">
        <v>45692</v>
      </c>
      <c r="B210" s="11" t="s">
        <v>10</v>
      </c>
      <c r="C210" s="11" t="s">
        <v>11</v>
      </c>
      <c r="D210" s="11" t="s">
        <v>29</v>
      </c>
      <c r="E210" s="11" t="s">
        <v>22</v>
      </c>
      <c r="F210" s="11">
        <v>90.54</v>
      </c>
      <c r="G210" s="11">
        <v>2</v>
      </c>
      <c r="H210" s="11">
        <v>181.08</v>
      </c>
      <c r="I210" s="11" t="s">
        <v>18</v>
      </c>
      <c r="J210" s="11">
        <v>4.0999999999999996</v>
      </c>
    </row>
    <row r="211" spans="1:10" ht="15.75" x14ac:dyDescent="0.25">
      <c r="A211" s="12">
        <v>45669</v>
      </c>
      <c r="B211" s="13" t="s">
        <v>15</v>
      </c>
      <c r="C211" s="13" t="s">
        <v>16</v>
      </c>
      <c r="D211" s="13" t="s">
        <v>28</v>
      </c>
      <c r="E211" s="13" t="s">
        <v>36</v>
      </c>
      <c r="F211" s="13">
        <v>20.43</v>
      </c>
      <c r="G211" s="13">
        <v>3</v>
      </c>
      <c r="H211" s="13">
        <v>61.29</v>
      </c>
      <c r="I211" s="13" t="s">
        <v>32</v>
      </c>
      <c r="J211" s="13">
        <v>4.9000000000000004</v>
      </c>
    </row>
    <row r="212" spans="1:10" ht="15.75" x14ac:dyDescent="0.25">
      <c r="A212" s="10">
        <v>45789</v>
      </c>
      <c r="B212" s="11" t="s">
        <v>15</v>
      </c>
      <c r="C212" s="11" t="s">
        <v>16</v>
      </c>
      <c r="D212" s="11" t="s">
        <v>12</v>
      </c>
      <c r="E212" s="11" t="s">
        <v>41</v>
      </c>
      <c r="F212" s="11">
        <v>73.180000000000007</v>
      </c>
      <c r="G212" s="11">
        <v>3</v>
      </c>
      <c r="H212" s="11">
        <v>219.54</v>
      </c>
      <c r="I212" s="11" t="s">
        <v>32</v>
      </c>
      <c r="J212" s="11">
        <v>4.2</v>
      </c>
    </row>
    <row r="213" spans="1:10" ht="15.75" x14ac:dyDescent="0.25">
      <c r="A213" s="12">
        <v>45784</v>
      </c>
      <c r="B213" s="13" t="s">
        <v>40</v>
      </c>
      <c r="C213" s="13" t="s">
        <v>11</v>
      </c>
      <c r="D213" s="13" t="s">
        <v>12</v>
      </c>
      <c r="E213" s="13" t="s">
        <v>36</v>
      </c>
      <c r="F213" s="13">
        <v>78.75</v>
      </c>
      <c r="G213" s="13">
        <v>2</v>
      </c>
      <c r="H213" s="13">
        <v>157.5</v>
      </c>
      <c r="I213" s="13" t="s">
        <v>14</v>
      </c>
      <c r="J213" s="13">
        <v>4.5</v>
      </c>
    </row>
    <row r="214" spans="1:10" ht="15.75" x14ac:dyDescent="0.25">
      <c r="A214" s="10">
        <v>45672</v>
      </c>
      <c r="B214" s="11" t="s">
        <v>24</v>
      </c>
      <c r="C214" s="11" t="s">
        <v>25</v>
      </c>
      <c r="D214" s="11" t="s">
        <v>35</v>
      </c>
      <c r="E214" s="11" t="s">
        <v>17</v>
      </c>
      <c r="F214" s="11">
        <v>62.77</v>
      </c>
      <c r="G214" s="11">
        <v>3</v>
      </c>
      <c r="H214" s="11">
        <v>188.31</v>
      </c>
      <c r="I214" s="11" t="s">
        <v>23</v>
      </c>
      <c r="J214" s="11">
        <v>4.8</v>
      </c>
    </row>
    <row r="215" spans="1:10" ht="15.75" x14ac:dyDescent="0.25">
      <c r="A215" s="12">
        <v>45732</v>
      </c>
      <c r="B215" s="13" t="s">
        <v>19</v>
      </c>
      <c r="C215" s="13" t="s">
        <v>20</v>
      </c>
      <c r="D215" s="13" t="s">
        <v>28</v>
      </c>
      <c r="E215" s="13" t="s">
        <v>17</v>
      </c>
      <c r="F215" s="13">
        <v>96.15</v>
      </c>
      <c r="G215" s="13">
        <v>2</v>
      </c>
      <c r="H215" s="13">
        <v>192.3</v>
      </c>
      <c r="I215" s="13" t="s">
        <v>23</v>
      </c>
      <c r="J215" s="13">
        <v>3.9</v>
      </c>
    </row>
    <row r="216" spans="1:10" ht="15.75" x14ac:dyDescent="0.25">
      <c r="A216" s="10">
        <v>45784</v>
      </c>
      <c r="B216" s="11" t="s">
        <v>33</v>
      </c>
      <c r="C216" s="11" t="s">
        <v>34</v>
      </c>
      <c r="D216" s="11" t="s">
        <v>21</v>
      </c>
      <c r="E216" s="11" t="s">
        <v>41</v>
      </c>
      <c r="F216" s="11">
        <v>42.16</v>
      </c>
      <c r="G216" s="11">
        <v>3</v>
      </c>
      <c r="H216" s="11">
        <v>126.48</v>
      </c>
      <c r="I216" s="11" t="s">
        <v>18</v>
      </c>
      <c r="J216" s="11">
        <v>4.5999999999999996</v>
      </c>
    </row>
    <row r="217" spans="1:10" ht="15.75" x14ac:dyDescent="0.25">
      <c r="A217" s="12">
        <v>45769</v>
      </c>
      <c r="B217" s="13" t="s">
        <v>40</v>
      </c>
      <c r="C217" s="13" t="s">
        <v>11</v>
      </c>
      <c r="D217" s="13" t="s">
        <v>12</v>
      </c>
      <c r="E217" s="13" t="s">
        <v>13</v>
      </c>
      <c r="F217" s="13">
        <v>19.97</v>
      </c>
      <c r="G217" s="13">
        <v>3</v>
      </c>
      <c r="H217" s="13">
        <v>59.91</v>
      </c>
      <c r="I217" s="13" t="s">
        <v>14</v>
      </c>
      <c r="J217" s="13">
        <v>3.6</v>
      </c>
    </row>
    <row r="218" spans="1:10" ht="15.75" x14ac:dyDescent="0.25">
      <c r="A218" s="10">
        <v>45789</v>
      </c>
      <c r="B218" s="11" t="s">
        <v>24</v>
      </c>
      <c r="C218" s="11" t="s">
        <v>25</v>
      </c>
      <c r="D218" s="11" t="s">
        <v>30</v>
      </c>
      <c r="E218" s="11" t="s">
        <v>41</v>
      </c>
      <c r="F218" s="11">
        <v>91.9</v>
      </c>
      <c r="G218" s="11">
        <v>1</v>
      </c>
      <c r="H218" s="11">
        <v>91.9</v>
      </c>
      <c r="I218" s="11" t="s">
        <v>23</v>
      </c>
      <c r="J218" s="11">
        <v>5</v>
      </c>
    </row>
    <row r="219" spans="1:10" ht="15.75" x14ac:dyDescent="0.25">
      <c r="A219" s="12">
        <v>45823</v>
      </c>
      <c r="B219" s="13" t="s">
        <v>19</v>
      </c>
      <c r="C219" s="13" t="s">
        <v>20</v>
      </c>
      <c r="D219" s="13" t="s">
        <v>29</v>
      </c>
      <c r="E219" s="13" t="s">
        <v>13</v>
      </c>
      <c r="F219" s="13">
        <v>72.03</v>
      </c>
      <c r="G219" s="13">
        <v>3</v>
      </c>
      <c r="H219" s="13">
        <v>216.09</v>
      </c>
      <c r="I219" s="13" t="s">
        <v>32</v>
      </c>
      <c r="J219" s="13">
        <v>4.7</v>
      </c>
    </row>
    <row r="220" spans="1:10" ht="15.75" x14ac:dyDescent="0.25">
      <c r="A220" s="10">
        <v>45795</v>
      </c>
      <c r="B220" s="11" t="s">
        <v>40</v>
      </c>
      <c r="C220" s="11" t="s">
        <v>11</v>
      </c>
      <c r="D220" s="11" t="s">
        <v>12</v>
      </c>
      <c r="E220" s="11" t="s">
        <v>13</v>
      </c>
      <c r="F220" s="11">
        <v>75.58</v>
      </c>
      <c r="G220" s="11">
        <v>1</v>
      </c>
      <c r="H220" s="11">
        <v>75.58</v>
      </c>
      <c r="I220" s="11" t="s">
        <v>14</v>
      </c>
      <c r="J220" s="11">
        <v>4.7</v>
      </c>
    </row>
    <row r="221" spans="1:10" ht="15.75" x14ac:dyDescent="0.25">
      <c r="A221" s="12">
        <v>45670</v>
      </c>
      <c r="B221" s="13" t="s">
        <v>15</v>
      </c>
      <c r="C221" s="13" t="s">
        <v>16</v>
      </c>
      <c r="D221" s="13" t="s">
        <v>29</v>
      </c>
      <c r="E221" s="13" t="s">
        <v>37</v>
      </c>
      <c r="F221" s="13">
        <v>22.57</v>
      </c>
      <c r="G221" s="13">
        <v>1</v>
      </c>
      <c r="H221" s="13">
        <v>22.57</v>
      </c>
      <c r="I221" s="13" t="s">
        <v>23</v>
      </c>
      <c r="J221" s="13">
        <v>4.7</v>
      </c>
    </row>
    <row r="222" spans="1:10" ht="15.75" x14ac:dyDescent="0.25">
      <c r="A222" s="10">
        <v>45675</v>
      </c>
      <c r="B222" s="11" t="s">
        <v>33</v>
      </c>
      <c r="C222" s="11" t="s">
        <v>34</v>
      </c>
      <c r="D222" s="11" t="s">
        <v>30</v>
      </c>
      <c r="E222" s="11" t="s">
        <v>31</v>
      </c>
      <c r="F222" s="11">
        <v>11.59</v>
      </c>
      <c r="G222" s="11">
        <v>3</v>
      </c>
      <c r="H222" s="11">
        <v>34.770000000000003</v>
      </c>
      <c r="I222" s="11" t="s">
        <v>23</v>
      </c>
      <c r="J222" s="11">
        <v>4</v>
      </c>
    </row>
    <row r="223" spans="1:10" ht="15.75" x14ac:dyDescent="0.25">
      <c r="A223" s="12">
        <v>45774</v>
      </c>
      <c r="B223" s="13" t="s">
        <v>24</v>
      </c>
      <c r="C223" s="13" t="s">
        <v>25</v>
      </c>
      <c r="D223" s="13" t="s">
        <v>28</v>
      </c>
      <c r="E223" s="13" t="s">
        <v>22</v>
      </c>
      <c r="F223" s="13">
        <v>14.89</v>
      </c>
      <c r="G223" s="13">
        <v>1</v>
      </c>
      <c r="H223" s="13">
        <v>14.89</v>
      </c>
      <c r="I223" s="13" t="s">
        <v>23</v>
      </c>
      <c r="J223" s="13">
        <v>4.4000000000000004</v>
      </c>
    </row>
    <row r="224" spans="1:10" ht="15.75" x14ac:dyDescent="0.25">
      <c r="A224" s="10">
        <v>45706</v>
      </c>
      <c r="B224" s="11" t="s">
        <v>10</v>
      </c>
      <c r="C224" s="11" t="s">
        <v>11</v>
      </c>
      <c r="D224" s="11" t="s">
        <v>35</v>
      </c>
      <c r="E224" s="11" t="s">
        <v>17</v>
      </c>
      <c r="F224" s="11">
        <v>28.83</v>
      </c>
      <c r="G224" s="11">
        <v>1</v>
      </c>
      <c r="H224" s="11">
        <v>28.83</v>
      </c>
      <c r="I224" s="11" t="s">
        <v>18</v>
      </c>
      <c r="J224" s="11">
        <v>4.4000000000000004</v>
      </c>
    </row>
    <row r="225" spans="1:10" ht="15.75" x14ac:dyDescent="0.25">
      <c r="A225" s="12">
        <v>45796</v>
      </c>
      <c r="B225" s="13" t="s">
        <v>26</v>
      </c>
      <c r="C225" s="13" t="s">
        <v>27</v>
      </c>
      <c r="D225" s="13" t="s">
        <v>35</v>
      </c>
      <c r="E225" s="13" t="s">
        <v>17</v>
      </c>
      <c r="F225" s="13">
        <v>90.47</v>
      </c>
      <c r="G225" s="13">
        <v>2</v>
      </c>
      <c r="H225" s="13">
        <v>180.94</v>
      </c>
      <c r="I225" s="13" t="s">
        <v>18</v>
      </c>
      <c r="J225" s="13">
        <v>5</v>
      </c>
    </row>
    <row r="226" spans="1:10" ht="15.75" x14ac:dyDescent="0.25">
      <c r="A226" s="10">
        <v>45718</v>
      </c>
      <c r="B226" s="11" t="s">
        <v>19</v>
      </c>
      <c r="C226" s="11" t="s">
        <v>20</v>
      </c>
      <c r="D226" s="11" t="s">
        <v>35</v>
      </c>
      <c r="E226" s="11" t="s">
        <v>22</v>
      </c>
      <c r="F226" s="11">
        <v>19.98</v>
      </c>
      <c r="G226" s="11">
        <v>2</v>
      </c>
      <c r="H226" s="11">
        <v>39.96</v>
      </c>
      <c r="I226" s="11" t="s">
        <v>18</v>
      </c>
      <c r="J226" s="11">
        <v>4.3</v>
      </c>
    </row>
    <row r="227" spans="1:10" ht="15.75" x14ac:dyDescent="0.25">
      <c r="A227" s="12">
        <v>45692</v>
      </c>
      <c r="B227" s="13" t="s">
        <v>26</v>
      </c>
      <c r="C227" s="13" t="s">
        <v>27</v>
      </c>
      <c r="D227" s="13" t="s">
        <v>12</v>
      </c>
      <c r="E227" s="13" t="s">
        <v>37</v>
      </c>
      <c r="F227" s="13">
        <v>41.86</v>
      </c>
      <c r="G227" s="13">
        <v>3</v>
      </c>
      <c r="H227" s="13">
        <v>125.58</v>
      </c>
      <c r="I227" s="13" t="s">
        <v>23</v>
      </c>
      <c r="J227" s="13">
        <v>4.5999999999999996</v>
      </c>
    </row>
    <row r="228" spans="1:10" ht="15.75" x14ac:dyDescent="0.25">
      <c r="A228" s="10">
        <v>45777</v>
      </c>
      <c r="B228" s="11" t="s">
        <v>26</v>
      </c>
      <c r="C228" s="11" t="s">
        <v>27</v>
      </c>
      <c r="D228" s="11" t="s">
        <v>30</v>
      </c>
      <c r="E228" s="11" t="s">
        <v>13</v>
      </c>
      <c r="F228" s="11">
        <v>56.71</v>
      </c>
      <c r="G228" s="11">
        <v>3</v>
      </c>
      <c r="H228" s="11">
        <v>170.13</v>
      </c>
      <c r="I228" s="11" t="s">
        <v>18</v>
      </c>
      <c r="J228" s="11">
        <v>4</v>
      </c>
    </row>
    <row r="229" spans="1:10" ht="15.75" x14ac:dyDescent="0.25">
      <c r="A229" s="12">
        <v>45799</v>
      </c>
      <c r="B229" s="13" t="s">
        <v>24</v>
      </c>
      <c r="C229" s="13" t="s">
        <v>25</v>
      </c>
      <c r="D229" s="13" t="s">
        <v>28</v>
      </c>
      <c r="E229" s="13" t="s">
        <v>13</v>
      </c>
      <c r="F229" s="13">
        <v>40.93</v>
      </c>
      <c r="G229" s="13">
        <v>1</v>
      </c>
      <c r="H229" s="13">
        <v>40.93</v>
      </c>
      <c r="I229" s="13" t="s">
        <v>32</v>
      </c>
      <c r="J229" s="13">
        <v>4.0999999999999996</v>
      </c>
    </row>
    <row r="230" spans="1:10" ht="15.75" x14ac:dyDescent="0.25">
      <c r="A230" s="10">
        <v>45791</v>
      </c>
      <c r="B230" s="11" t="s">
        <v>26</v>
      </c>
      <c r="C230" s="11" t="s">
        <v>27</v>
      </c>
      <c r="D230" s="11" t="s">
        <v>30</v>
      </c>
      <c r="E230" s="11" t="s">
        <v>22</v>
      </c>
      <c r="F230" s="11">
        <v>35.42</v>
      </c>
      <c r="G230" s="11">
        <v>2</v>
      </c>
      <c r="H230" s="11">
        <v>70.84</v>
      </c>
      <c r="I230" s="11" t="s">
        <v>14</v>
      </c>
      <c r="J230" s="11">
        <v>4.8</v>
      </c>
    </row>
    <row r="231" spans="1:10" ht="15.75" x14ac:dyDescent="0.25">
      <c r="A231" s="12">
        <v>45754</v>
      </c>
      <c r="B231" s="13" t="s">
        <v>24</v>
      </c>
      <c r="C231" s="13" t="s">
        <v>25</v>
      </c>
      <c r="D231" s="13" t="s">
        <v>12</v>
      </c>
      <c r="E231" s="13" t="s">
        <v>36</v>
      </c>
      <c r="F231" s="13">
        <v>17.260000000000002</v>
      </c>
      <c r="G231" s="13">
        <v>2</v>
      </c>
      <c r="H231" s="13">
        <v>34.520000000000003</v>
      </c>
      <c r="I231" s="13" t="s">
        <v>32</v>
      </c>
      <c r="J231" s="13">
        <v>3.8</v>
      </c>
    </row>
    <row r="232" spans="1:10" ht="15.75" x14ac:dyDescent="0.25">
      <c r="A232" s="10">
        <v>45799</v>
      </c>
      <c r="B232" s="11" t="s">
        <v>33</v>
      </c>
      <c r="C232" s="11" t="s">
        <v>34</v>
      </c>
      <c r="D232" s="11" t="s">
        <v>29</v>
      </c>
      <c r="E232" s="11" t="s">
        <v>36</v>
      </c>
      <c r="F232" s="11">
        <v>40.72</v>
      </c>
      <c r="G232" s="11">
        <v>3</v>
      </c>
      <c r="H232" s="11">
        <v>122.16</v>
      </c>
      <c r="I232" s="11" t="s">
        <v>14</v>
      </c>
      <c r="J232" s="11">
        <v>4.5999999999999996</v>
      </c>
    </row>
    <row r="233" spans="1:10" ht="15.75" x14ac:dyDescent="0.25">
      <c r="A233" s="12">
        <v>45743</v>
      </c>
      <c r="B233" s="13" t="s">
        <v>24</v>
      </c>
      <c r="C233" s="13" t="s">
        <v>25</v>
      </c>
      <c r="D233" s="13" t="s">
        <v>29</v>
      </c>
      <c r="E233" s="13" t="s">
        <v>22</v>
      </c>
      <c r="F233" s="13">
        <v>15.58</v>
      </c>
      <c r="G233" s="13">
        <v>2</v>
      </c>
      <c r="H233" s="13">
        <v>31.16</v>
      </c>
      <c r="I233" s="13" t="s">
        <v>23</v>
      </c>
      <c r="J233" s="13">
        <v>4</v>
      </c>
    </row>
    <row r="234" spans="1:10" ht="15.75" x14ac:dyDescent="0.25">
      <c r="A234" s="10">
        <v>45741</v>
      </c>
      <c r="B234" s="11" t="s">
        <v>26</v>
      </c>
      <c r="C234" s="11" t="s">
        <v>27</v>
      </c>
      <c r="D234" s="11" t="s">
        <v>28</v>
      </c>
      <c r="E234" s="11" t="s">
        <v>41</v>
      </c>
      <c r="F234" s="11">
        <v>26.57</v>
      </c>
      <c r="G234" s="11">
        <v>2</v>
      </c>
      <c r="H234" s="11">
        <v>53.14</v>
      </c>
      <c r="I234" s="11" t="s">
        <v>32</v>
      </c>
      <c r="J234" s="11">
        <v>4.5</v>
      </c>
    </row>
    <row r="235" spans="1:10" ht="15.75" x14ac:dyDescent="0.25">
      <c r="A235" s="12">
        <v>45803</v>
      </c>
      <c r="B235" s="13" t="s">
        <v>33</v>
      </c>
      <c r="C235" s="13" t="s">
        <v>34</v>
      </c>
      <c r="D235" s="13" t="s">
        <v>30</v>
      </c>
      <c r="E235" s="13" t="s">
        <v>41</v>
      </c>
      <c r="F235" s="13">
        <v>16.38</v>
      </c>
      <c r="G235" s="13">
        <v>2</v>
      </c>
      <c r="H235" s="13">
        <v>32.76</v>
      </c>
      <c r="I235" s="13" t="s">
        <v>32</v>
      </c>
      <c r="J235" s="13">
        <v>4.4000000000000004</v>
      </c>
    </row>
    <row r="236" spans="1:10" ht="15.75" x14ac:dyDescent="0.25">
      <c r="A236" s="10">
        <v>45712</v>
      </c>
      <c r="B236" s="11" t="s">
        <v>26</v>
      </c>
      <c r="C236" s="11" t="s">
        <v>27</v>
      </c>
      <c r="D236" s="11" t="s">
        <v>35</v>
      </c>
      <c r="E236" s="11" t="s">
        <v>37</v>
      </c>
      <c r="F236" s="11">
        <v>58.3</v>
      </c>
      <c r="G236" s="11">
        <v>2</v>
      </c>
      <c r="H236" s="11">
        <v>116.6</v>
      </c>
      <c r="I236" s="11" t="s">
        <v>18</v>
      </c>
      <c r="J236" s="11">
        <v>3.7</v>
      </c>
    </row>
    <row r="237" spans="1:10" ht="15.75" x14ac:dyDescent="0.25">
      <c r="A237" s="12">
        <v>45830</v>
      </c>
      <c r="B237" s="13" t="s">
        <v>26</v>
      </c>
      <c r="C237" s="13" t="s">
        <v>27</v>
      </c>
      <c r="D237" s="13" t="s">
        <v>12</v>
      </c>
      <c r="E237" s="13" t="s">
        <v>31</v>
      </c>
      <c r="F237" s="13">
        <v>14.38</v>
      </c>
      <c r="G237" s="13">
        <v>1</v>
      </c>
      <c r="H237" s="13">
        <v>14.38</v>
      </c>
      <c r="I237" s="13" t="s">
        <v>32</v>
      </c>
      <c r="J237" s="13">
        <v>4.4000000000000004</v>
      </c>
    </row>
    <row r="238" spans="1:10" ht="15.75" x14ac:dyDescent="0.25">
      <c r="A238" s="10">
        <v>45755</v>
      </c>
      <c r="B238" s="11" t="s">
        <v>10</v>
      </c>
      <c r="C238" s="11" t="s">
        <v>11</v>
      </c>
      <c r="D238" s="11" t="s">
        <v>29</v>
      </c>
      <c r="E238" s="11" t="s">
        <v>41</v>
      </c>
      <c r="F238" s="11">
        <v>68.62</v>
      </c>
      <c r="G238" s="11">
        <v>3</v>
      </c>
      <c r="H238" s="11">
        <v>205.86</v>
      </c>
      <c r="I238" s="11" t="s">
        <v>23</v>
      </c>
      <c r="J238" s="11">
        <v>4.9000000000000004</v>
      </c>
    </row>
    <row r="239" spans="1:10" ht="15.75" x14ac:dyDescent="0.25">
      <c r="A239" s="12">
        <v>45732</v>
      </c>
      <c r="B239" s="13" t="s">
        <v>15</v>
      </c>
      <c r="C239" s="13" t="s">
        <v>16</v>
      </c>
      <c r="D239" s="13" t="s">
        <v>35</v>
      </c>
      <c r="E239" s="13" t="s">
        <v>13</v>
      </c>
      <c r="F239" s="13">
        <v>14.86</v>
      </c>
      <c r="G239" s="13">
        <v>3</v>
      </c>
      <c r="H239" s="13">
        <v>44.58</v>
      </c>
      <c r="I239" s="13" t="s">
        <v>32</v>
      </c>
      <c r="J239" s="13">
        <v>3.8</v>
      </c>
    </row>
    <row r="240" spans="1:10" ht="15.75" x14ac:dyDescent="0.25">
      <c r="A240" s="10">
        <v>45749</v>
      </c>
      <c r="B240" s="11" t="s">
        <v>38</v>
      </c>
      <c r="C240" s="11" t="s">
        <v>39</v>
      </c>
      <c r="D240" s="11" t="s">
        <v>30</v>
      </c>
      <c r="E240" s="11" t="s">
        <v>37</v>
      </c>
      <c r="F240" s="11">
        <v>62.04</v>
      </c>
      <c r="G240" s="11">
        <v>2</v>
      </c>
      <c r="H240" s="11">
        <v>124.08</v>
      </c>
      <c r="I240" s="11" t="s">
        <v>14</v>
      </c>
      <c r="J240" s="11">
        <v>3.9</v>
      </c>
    </row>
    <row r="241" spans="1:10" ht="15.75" x14ac:dyDescent="0.25">
      <c r="A241" s="12">
        <v>45766</v>
      </c>
      <c r="B241" s="13" t="s">
        <v>33</v>
      </c>
      <c r="C241" s="13" t="s">
        <v>34</v>
      </c>
      <c r="D241" s="13" t="s">
        <v>21</v>
      </c>
      <c r="E241" s="13" t="s">
        <v>17</v>
      </c>
      <c r="F241" s="13">
        <v>36.68</v>
      </c>
      <c r="G241" s="13">
        <v>1</v>
      </c>
      <c r="H241" s="13">
        <v>36.68</v>
      </c>
      <c r="I241" s="13" t="s">
        <v>18</v>
      </c>
      <c r="J241" s="13">
        <v>4.0999999999999996</v>
      </c>
    </row>
    <row r="242" spans="1:10" ht="15.75" x14ac:dyDescent="0.25">
      <c r="A242" s="10">
        <v>45691</v>
      </c>
      <c r="B242" s="11" t="s">
        <v>15</v>
      </c>
      <c r="C242" s="11" t="s">
        <v>16</v>
      </c>
      <c r="D242" s="11" t="s">
        <v>12</v>
      </c>
      <c r="E242" s="11" t="s">
        <v>22</v>
      </c>
      <c r="F242" s="11">
        <v>79.83</v>
      </c>
      <c r="G242" s="11">
        <v>1</v>
      </c>
      <c r="H242" s="11">
        <v>79.83</v>
      </c>
      <c r="I242" s="11" t="s">
        <v>18</v>
      </c>
      <c r="J242" s="11">
        <v>4</v>
      </c>
    </row>
    <row r="243" spans="1:10" ht="15.75" x14ac:dyDescent="0.25">
      <c r="A243" s="12">
        <v>45723</v>
      </c>
      <c r="B243" s="13" t="s">
        <v>26</v>
      </c>
      <c r="C243" s="13" t="s">
        <v>27</v>
      </c>
      <c r="D243" s="13" t="s">
        <v>35</v>
      </c>
      <c r="E243" s="13" t="s">
        <v>31</v>
      </c>
      <c r="F243" s="13">
        <v>83.48</v>
      </c>
      <c r="G243" s="13">
        <v>3</v>
      </c>
      <c r="H243" s="13">
        <v>250.44</v>
      </c>
      <c r="I243" s="13" t="s">
        <v>18</v>
      </c>
      <c r="J243" s="13">
        <v>3.9</v>
      </c>
    </row>
    <row r="244" spans="1:10" ht="15.75" x14ac:dyDescent="0.25">
      <c r="A244" s="10">
        <v>45719</v>
      </c>
      <c r="B244" s="11" t="s">
        <v>15</v>
      </c>
      <c r="C244" s="11" t="s">
        <v>16</v>
      </c>
      <c r="D244" s="11" t="s">
        <v>30</v>
      </c>
      <c r="E244" s="11" t="s">
        <v>31</v>
      </c>
      <c r="F244" s="11">
        <v>14.75</v>
      </c>
      <c r="G244" s="11">
        <v>2</v>
      </c>
      <c r="H244" s="11">
        <v>29.5</v>
      </c>
      <c r="I244" s="11" t="s">
        <v>23</v>
      </c>
      <c r="J244" s="11">
        <v>3.8</v>
      </c>
    </row>
    <row r="245" spans="1:10" ht="15.75" x14ac:dyDescent="0.25">
      <c r="A245" s="12">
        <v>45822</v>
      </c>
      <c r="B245" s="13" t="s">
        <v>24</v>
      </c>
      <c r="C245" s="13" t="s">
        <v>25</v>
      </c>
      <c r="D245" s="13" t="s">
        <v>21</v>
      </c>
      <c r="E245" s="13" t="s">
        <v>41</v>
      </c>
      <c r="F245" s="13">
        <v>12.74</v>
      </c>
      <c r="G245" s="13">
        <v>1</v>
      </c>
      <c r="H245" s="13">
        <v>12.74</v>
      </c>
      <c r="I245" s="13" t="s">
        <v>32</v>
      </c>
      <c r="J245" s="13">
        <v>3.8</v>
      </c>
    </row>
    <row r="246" spans="1:10" ht="15.75" x14ac:dyDescent="0.25">
      <c r="A246" s="10">
        <v>45717</v>
      </c>
      <c r="B246" s="11" t="s">
        <v>24</v>
      </c>
      <c r="C246" s="11" t="s">
        <v>25</v>
      </c>
      <c r="D246" s="11" t="s">
        <v>29</v>
      </c>
      <c r="E246" s="11" t="s">
        <v>13</v>
      </c>
      <c r="F246" s="11">
        <v>58.22</v>
      </c>
      <c r="G246" s="11">
        <v>3</v>
      </c>
      <c r="H246" s="11">
        <v>174.66</v>
      </c>
      <c r="I246" s="11" t="s">
        <v>23</v>
      </c>
      <c r="J246" s="11">
        <v>3.5</v>
      </c>
    </row>
    <row r="247" spans="1:10" ht="15.75" x14ac:dyDescent="0.25">
      <c r="A247" s="12">
        <v>45686</v>
      </c>
      <c r="B247" s="13" t="s">
        <v>19</v>
      </c>
      <c r="C247" s="13" t="s">
        <v>20</v>
      </c>
      <c r="D247" s="13" t="s">
        <v>29</v>
      </c>
      <c r="E247" s="13" t="s">
        <v>36</v>
      </c>
      <c r="F247" s="13">
        <v>45.46</v>
      </c>
      <c r="G247" s="13">
        <v>3</v>
      </c>
      <c r="H247" s="13">
        <v>136.38</v>
      </c>
      <c r="I247" s="13" t="s">
        <v>32</v>
      </c>
      <c r="J247" s="13">
        <v>4.4000000000000004</v>
      </c>
    </row>
    <row r="248" spans="1:10" ht="15.75" x14ac:dyDescent="0.25">
      <c r="A248" s="10">
        <v>45667</v>
      </c>
      <c r="B248" s="11" t="s">
        <v>24</v>
      </c>
      <c r="C248" s="11" t="s">
        <v>25</v>
      </c>
      <c r="D248" s="11" t="s">
        <v>29</v>
      </c>
      <c r="E248" s="11" t="s">
        <v>17</v>
      </c>
      <c r="F248" s="11">
        <v>90.48</v>
      </c>
      <c r="G248" s="11">
        <v>2</v>
      </c>
      <c r="H248" s="11">
        <v>180.96</v>
      </c>
      <c r="I248" s="11" t="s">
        <v>18</v>
      </c>
      <c r="J248" s="11">
        <v>4.8</v>
      </c>
    </row>
    <row r="249" spans="1:10" ht="15.75" x14ac:dyDescent="0.25">
      <c r="A249" s="12">
        <v>45681</v>
      </c>
      <c r="B249" s="13" t="s">
        <v>40</v>
      </c>
      <c r="C249" s="13" t="s">
        <v>11</v>
      </c>
      <c r="D249" s="13" t="s">
        <v>30</v>
      </c>
      <c r="E249" s="13" t="s">
        <v>36</v>
      </c>
      <c r="F249" s="13">
        <v>69.569999999999993</v>
      </c>
      <c r="G249" s="13">
        <v>2</v>
      </c>
      <c r="H249" s="13">
        <v>139.13999999999999</v>
      </c>
      <c r="I249" s="13" t="s">
        <v>14</v>
      </c>
      <c r="J249" s="13">
        <v>4</v>
      </c>
    </row>
    <row r="250" spans="1:10" ht="15.75" x14ac:dyDescent="0.25">
      <c r="A250" s="10">
        <v>45662</v>
      </c>
      <c r="B250" s="11" t="s">
        <v>10</v>
      </c>
      <c r="C250" s="11" t="s">
        <v>11</v>
      </c>
      <c r="D250" s="11" t="s">
        <v>21</v>
      </c>
      <c r="E250" s="11" t="s">
        <v>36</v>
      </c>
      <c r="F250" s="11">
        <v>67.569999999999993</v>
      </c>
      <c r="G250" s="11">
        <v>3</v>
      </c>
      <c r="H250" s="11">
        <v>202.71</v>
      </c>
      <c r="I250" s="11" t="s">
        <v>18</v>
      </c>
      <c r="J250" s="11">
        <v>4.3</v>
      </c>
    </row>
    <row r="251" spans="1:10" ht="15.75" x14ac:dyDescent="0.25">
      <c r="A251" s="12">
        <v>45780</v>
      </c>
      <c r="B251" s="13" t="s">
        <v>24</v>
      </c>
      <c r="C251" s="13" t="s">
        <v>25</v>
      </c>
      <c r="D251" s="13" t="s">
        <v>12</v>
      </c>
      <c r="E251" s="13" t="s">
        <v>13</v>
      </c>
      <c r="F251" s="13">
        <v>72.099999999999994</v>
      </c>
      <c r="G251" s="13">
        <v>3</v>
      </c>
      <c r="H251" s="13">
        <v>216.3</v>
      </c>
      <c r="I251" s="13" t="s">
        <v>18</v>
      </c>
      <c r="J251" s="13">
        <v>4.5</v>
      </c>
    </row>
    <row r="252" spans="1:10" ht="15.75" x14ac:dyDescent="0.25">
      <c r="A252" s="10">
        <v>45719</v>
      </c>
      <c r="B252" s="11" t="s">
        <v>10</v>
      </c>
      <c r="C252" s="11" t="s">
        <v>11</v>
      </c>
      <c r="D252" s="11" t="s">
        <v>12</v>
      </c>
      <c r="E252" s="11" t="s">
        <v>37</v>
      </c>
      <c r="F252" s="11">
        <v>50.65</v>
      </c>
      <c r="G252" s="11">
        <v>3</v>
      </c>
      <c r="H252" s="11">
        <v>151.94999999999999</v>
      </c>
      <c r="I252" s="11" t="s">
        <v>18</v>
      </c>
      <c r="J252" s="11">
        <v>4.8</v>
      </c>
    </row>
    <row r="253" spans="1:10" ht="15.75" x14ac:dyDescent="0.25">
      <c r="A253" s="12">
        <v>45663</v>
      </c>
      <c r="B253" s="13" t="s">
        <v>10</v>
      </c>
      <c r="C253" s="13" t="s">
        <v>11</v>
      </c>
      <c r="D253" s="13" t="s">
        <v>35</v>
      </c>
      <c r="E253" s="13" t="s">
        <v>36</v>
      </c>
      <c r="F253" s="13">
        <v>98.11</v>
      </c>
      <c r="G253" s="13">
        <v>2</v>
      </c>
      <c r="H253" s="13">
        <v>196.22</v>
      </c>
      <c r="I253" s="13" t="s">
        <v>23</v>
      </c>
      <c r="J253" s="13">
        <v>4.2</v>
      </c>
    </row>
    <row r="254" spans="1:10" ht="15.75" x14ac:dyDescent="0.25">
      <c r="A254" s="10">
        <v>45700</v>
      </c>
      <c r="B254" s="11" t="s">
        <v>24</v>
      </c>
      <c r="C254" s="11" t="s">
        <v>25</v>
      </c>
      <c r="D254" s="11" t="s">
        <v>30</v>
      </c>
      <c r="E254" s="11" t="s">
        <v>31</v>
      </c>
      <c r="F254" s="11">
        <v>47.87</v>
      </c>
      <c r="G254" s="11">
        <v>2</v>
      </c>
      <c r="H254" s="11">
        <v>95.74</v>
      </c>
      <c r="I254" s="11" t="s">
        <v>18</v>
      </c>
      <c r="J254" s="11">
        <v>4.5999999999999996</v>
      </c>
    </row>
    <row r="255" spans="1:10" ht="15.75" x14ac:dyDescent="0.25">
      <c r="A255" s="12">
        <v>45743</v>
      </c>
      <c r="B255" s="13" t="s">
        <v>24</v>
      </c>
      <c r="C255" s="13" t="s">
        <v>25</v>
      </c>
      <c r="D255" s="13" t="s">
        <v>28</v>
      </c>
      <c r="E255" s="13" t="s">
        <v>37</v>
      </c>
      <c r="F255" s="13">
        <v>43.55</v>
      </c>
      <c r="G255" s="13">
        <v>3</v>
      </c>
      <c r="H255" s="13">
        <v>130.65</v>
      </c>
      <c r="I255" s="13" t="s">
        <v>18</v>
      </c>
      <c r="J255" s="13">
        <v>4.8</v>
      </c>
    </row>
    <row r="256" spans="1:10" ht="15.75" x14ac:dyDescent="0.25">
      <c r="A256" s="10">
        <v>45791</v>
      </c>
      <c r="B256" s="11" t="s">
        <v>15</v>
      </c>
      <c r="C256" s="11" t="s">
        <v>16</v>
      </c>
      <c r="D256" s="11" t="s">
        <v>28</v>
      </c>
      <c r="E256" s="11" t="s">
        <v>37</v>
      </c>
      <c r="F256" s="11">
        <v>34.729999999999997</v>
      </c>
      <c r="G256" s="11">
        <v>3</v>
      </c>
      <c r="H256" s="11">
        <v>104.19</v>
      </c>
      <c r="I256" s="11" t="s">
        <v>14</v>
      </c>
      <c r="J256" s="11">
        <v>4.5999999999999996</v>
      </c>
    </row>
    <row r="257" spans="1:10" ht="15.75" x14ac:dyDescent="0.25">
      <c r="A257" s="12">
        <v>45665</v>
      </c>
      <c r="B257" s="13" t="s">
        <v>19</v>
      </c>
      <c r="C257" s="13" t="s">
        <v>20</v>
      </c>
      <c r="D257" s="13" t="s">
        <v>28</v>
      </c>
      <c r="E257" s="13" t="s">
        <v>31</v>
      </c>
      <c r="F257" s="13">
        <v>76.22</v>
      </c>
      <c r="G257" s="13">
        <v>1</v>
      </c>
      <c r="H257" s="13">
        <v>76.22</v>
      </c>
      <c r="I257" s="13" t="s">
        <v>18</v>
      </c>
      <c r="J257" s="13">
        <v>4.7</v>
      </c>
    </row>
    <row r="258" spans="1:10" ht="15.75" x14ac:dyDescent="0.25">
      <c r="A258" s="10">
        <v>45678</v>
      </c>
      <c r="B258" s="11" t="s">
        <v>24</v>
      </c>
      <c r="C258" s="11" t="s">
        <v>25</v>
      </c>
      <c r="D258" s="11" t="s">
        <v>30</v>
      </c>
      <c r="E258" s="11" t="s">
        <v>37</v>
      </c>
      <c r="F258" s="11">
        <v>36.869999999999997</v>
      </c>
      <c r="G258" s="11">
        <v>3</v>
      </c>
      <c r="H258" s="11">
        <v>110.61</v>
      </c>
      <c r="I258" s="11" t="s">
        <v>23</v>
      </c>
      <c r="J258" s="11">
        <v>3.9</v>
      </c>
    </row>
    <row r="259" spans="1:10" ht="15.75" x14ac:dyDescent="0.25">
      <c r="A259" s="12">
        <v>45749</v>
      </c>
      <c r="B259" s="13" t="s">
        <v>19</v>
      </c>
      <c r="C259" s="13" t="s">
        <v>20</v>
      </c>
      <c r="D259" s="13" t="s">
        <v>28</v>
      </c>
      <c r="E259" s="13" t="s">
        <v>37</v>
      </c>
      <c r="F259" s="13">
        <v>10.41</v>
      </c>
      <c r="G259" s="13">
        <v>2</v>
      </c>
      <c r="H259" s="13">
        <v>20.82</v>
      </c>
      <c r="I259" s="13" t="s">
        <v>23</v>
      </c>
      <c r="J259" s="13">
        <v>4.3</v>
      </c>
    </row>
    <row r="260" spans="1:10" ht="15.75" x14ac:dyDescent="0.25">
      <c r="A260" s="10">
        <v>45762</v>
      </c>
      <c r="B260" s="11" t="s">
        <v>15</v>
      </c>
      <c r="C260" s="11" t="s">
        <v>16</v>
      </c>
      <c r="D260" s="11" t="s">
        <v>29</v>
      </c>
      <c r="E260" s="11" t="s">
        <v>17</v>
      </c>
      <c r="F260" s="11">
        <v>76.2</v>
      </c>
      <c r="G260" s="11">
        <v>1</v>
      </c>
      <c r="H260" s="11">
        <v>76.2</v>
      </c>
      <c r="I260" s="11" t="s">
        <v>14</v>
      </c>
      <c r="J260" s="11">
        <v>4.5</v>
      </c>
    </row>
    <row r="261" spans="1:10" ht="15.75" x14ac:dyDescent="0.25">
      <c r="A261" s="12">
        <v>45692</v>
      </c>
      <c r="B261" s="13" t="s">
        <v>38</v>
      </c>
      <c r="C261" s="13" t="s">
        <v>39</v>
      </c>
      <c r="D261" s="13" t="s">
        <v>29</v>
      </c>
      <c r="E261" s="13" t="s">
        <v>36</v>
      </c>
      <c r="F261" s="13">
        <v>61.6</v>
      </c>
      <c r="G261" s="13">
        <v>2</v>
      </c>
      <c r="H261" s="13">
        <v>123.2</v>
      </c>
      <c r="I261" s="13" t="s">
        <v>14</v>
      </c>
      <c r="J261" s="13">
        <v>3.6</v>
      </c>
    </row>
    <row r="262" spans="1:10" ht="15.75" x14ac:dyDescent="0.25">
      <c r="A262" s="10">
        <v>45658</v>
      </c>
      <c r="B262" s="11" t="s">
        <v>15</v>
      </c>
      <c r="C262" s="11" t="s">
        <v>16</v>
      </c>
      <c r="D262" s="11" t="s">
        <v>21</v>
      </c>
      <c r="E262" s="11" t="s">
        <v>17</v>
      </c>
      <c r="F262" s="11">
        <v>52.57</v>
      </c>
      <c r="G262" s="11">
        <v>2</v>
      </c>
      <c r="H262" s="11">
        <v>105.14</v>
      </c>
      <c r="I262" s="11" t="s">
        <v>14</v>
      </c>
      <c r="J262" s="11">
        <v>4.4000000000000004</v>
      </c>
    </row>
    <row r="263" spans="1:10" ht="15.75" x14ac:dyDescent="0.25">
      <c r="A263" s="12">
        <v>45823</v>
      </c>
      <c r="B263" s="13" t="s">
        <v>24</v>
      </c>
      <c r="C263" s="13" t="s">
        <v>25</v>
      </c>
      <c r="D263" s="13" t="s">
        <v>28</v>
      </c>
      <c r="E263" s="13" t="s">
        <v>41</v>
      </c>
      <c r="F263" s="13">
        <v>39.200000000000003</v>
      </c>
      <c r="G263" s="13">
        <v>1</v>
      </c>
      <c r="H263" s="13">
        <v>39.200000000000003</v>
      </c>
      <c r="I263" s="13" t="s">
        <v>18</v>
      </c>
      <c r="J263" s="13">
        <v>3.6</v>
      </c>
    </row>
    <row r="264" spans="1:10" ht="15.75" x14ac:dyDescent="0.25">
      <c r="A264" s="10">
        <v>45769</v>
      </c>
      <c r="B264" s="11" t="s">
        <v>38</v>
      </c>
      <c r="C264" s="11" t="s">
        <v>39</v>
      </c>
      <c r="D264" s="11" t="s">
        <v>28</v>
      </c>
      <c r="E264" s="11" t="s">
        <v>36</v>
      </c>
      <c r="F264" s="11">
        <v>46.87</v>
      </c>
      <c r="G264" s="11">
        <v>3</v>
      </c>
      <c r="H264" s="11">
        <v>140.61000000000001</v>
      </c>
      <c r="I264" s="11" t="s">
        <v>32</v>
      </c>
      <c r="J264" s="11">
        <v>3.9</v>
      </c>
    </row>
    <row r="265" spans="1:10" ht="15.75" x14ac:dyDescent="0.25">
      <c r="A265" s="12">
        <v>45786</v>
      </c>
      <c r="B265" s="13" t="s">
        <v>19</v>
      </c>
      <c r="C265" s="13" t="s">
        <v>20</v>
      </c>
      <c r="D265" s="13" t="s">
        <v>21</v>
      </c>
      <c r="E265" s="13" t="s">
        <v>37</v>
      </c>
      <c r="F265" s="13">
        <v>97.1</v>
      </c>
      <c r="G265" s="13">
        <v>2</v>
      </c>
      <c r="H265" s="13">
        <v>194.2</v>
      </c>
      <c r="I265" s="13" t="s">
        <v>18</v>
      </c>
      <c r="J265" s="13">
        <v>3.8</v>
      </c>
    </row>
    <row r="266" spans="1:10" ht="15.75" x14ac:dyDescent="0.25">
      <c r="A266" s="10">
        <v>45836</v>
      </c>
      <c r="B266" s="11" t="s">
        <v>33</v>
      </c>
      <c r="C266" s="11" t="s">
        <v>34</v>
      </c>
      <c r="D266" s="11" t="s">
        <v>29</v>
      </c>
      <c r="E266" s="11" t="s">
        <v>22</v>
      </c>
      <c r="F266" s="11">
        <v>18.850000000000001</v>
      </c>
      <c r="G266" s="11">
        <v>2</v>
      </c>
      <c r="H266" s="11">
        <v>37.700000000000003</v>
      </c>
      <c r="I266" s="11" t="s">
        <v>32</v>
      </c>
      <c r="J266" s="11">
        <v>4.9000000000000004</v>
      </c>
    </row>
    <row r="267" spans="1:10" ht="15.75" x14ac:dyDescent="0.25">
      <c r="A267" s="12">
        <v>45682</v>
      </c>
      <c r="B267" s="13" t="s">
        <v>26</v>
      </c>
      <c r="C267" s="13" t="s">
        <v>27</v>
      </c>
      <c r="D267" s="13" t="s">
        <v>21</v>
      </c>
      <c r="E267" s="13" t="s">
        <v>22</v>
      </c>
      <c r="F267" s="13">
        <v>67.95</v>
      </c>
      <c r="G267" s="13">
        <v>3</v>
      </c>
      <c r="H267" s="13">
        <v>203.85</v>
      </c>
      <c r="I267" s="13" t="s">
        <v>32</v>
      </c>
      <c r="J267" s="13">
        <v>5</v>
      </c>
    </row>
    <row r="268" spans="1:10" ht="15.75" x14ac:dyDescent="0.25">
      <c r="A268" s="10">
        <v>45706</v>
      </c>
      <c r="B268" s="11" t="s">
        <v>26</v>
      </c>
      <c r="C268" s="11" t="s">
        <v>27</v>
      </c>
      <c r="D268" s="11" t="s">
        <v>21</v>
      </c>
      <c r="E268" s="11" t="s">
        <v>13</v>
      </c>
      <c r="F268" s="11">
        <v>86.48</v>
      </c>
      <c r="G268" s="11">
        <v>2</v>
      </c>
      <c r="H268" s="11">
        <v>172.96</v>
      </c>
      <c r="I268" s="11" t="s">
        <v>18</v>
      </c>
      <c r="J268" s="11">
        <v>4.0999999999999996</v>
      </c>
    </row>
    <row r="269" spans="1:10" ht="15.75" x14ac:dyDescent="0.25">
      <c r="A269" s="12">
        <v>45775</v>
      </c>
      <c r="B269" s="13" t="s">
        <v>40</v>
      </c>
      <c r="C269" s="13" t="s">
        <v>11</v>
      </c>
      <c r="D269" s="13" t="s">
        <v>35</v>
      </c>
      <c r="E269" s="13" t="s">
        <v>17</v>
      </c>
      <c r="F269" s="13">
        <v>53.75</v>
      </c>
      <c r="G269" s="13">
        <v>3</v>
      </c>
      <c r="H269" s="13">
        <v>161.25</v>
      </c>
      <c r="I269" s="13" t="s">
        <v>14</v>
      </c>
      <c r="J269" s="13">
        <v>5</v>
      </c>
    </row>
    <row r="270" spans="1:10" ht="15.75" x14ac:dyDescent="0.25">
      <c r="A270" s="10">
        <v>45769</v>
      </c>
      <c r="B270" s="11" t="s">
        <v>26</v>
      </c>
      <c r="C270" s="11" t="s">
        <v>27</v>
      </c>
      <c r="D270" s="11" t="s">
        <v>30</v>
      </c>
      <c r="E270" s="11" t="s">
        <v>37</v>
      </c>
      <c r="F270" s="11">
        <v>53.03</v>
      </c>
      <c r="G270" s="11">
        <v>3</v>
      </c>
      <c r="H270" s="11">
        <v>159.09</v>
      </c>
      <c r="I270" s="11" t="s">
        <v>14</v>
      </c>
      <c r="J270" s="11">
        <v>4.2</v>
      </c>
    </row>
    <row r="271" spans="1:10" ht="15.75" x14ac:dyDescent="0.25">
      <c r="A271" s="12">
        <v>45770</v>
      </c>
      <c r="B271" s="13" t="s">
        <v>40</v>
      </c>
      <c r="C271" s="13" t="s">
        <v>11</v>
      </c>
      <c r="D271" s="13" t="s">
        <v>29</v>
      </c>
      <c r="E271" s="13" t="s">
        <v>36</v>
      </c>
      <c r="F271" s="13">
        <v>67.739999999999995</v>
      </c>
      <c r="G271" s="13">
        <v>2</v>
      </c>
      <c r="H271" s="13">
        <v>135.47999999999999</v>
      </c>
      <c r="I271" s="13" t="s">
        <v>14</v>
      </c>
      <c r="J271" s="13">
        <v>3.9</v>
      </c>
    </row>
    <row r="272" spans="1:10" ht="15.75" x14ac:dyDescent="0.25">
      <c r="A272" s="10">
        <v>45813</v>
      </c>
      <c r="B272" s="11" t="s">
        <v>10</v>
      </c>
      <c r="C272" s="11" t="s">
        <v>11</v>
      </c>
      <c r="D272" s="11" t="s">
        <v>35</v>
      </c>
      <c r="E272" s="11" t="s">
        <v>31</v>
      </c>
      <c r="F272" s="11">
        <v>56.26</v>
      </c>
      <c r="G272" s="11">
        <v>2</v>
      </c>
      <c r="H272" s="11">
        <v>112.52</v>
      </c>
      <c r="I272" s="11" t="s">
        <v>23</v>
      </c>
      <c r="J272" s="11">
        <v>4</v>
      </c>
    </row>
    <row r="273" spans="1:10" ht="15.75" x14ac:dyDescent="0.25">
      <c r="A273" s="12">
        <v>45667</v>
      </c>
      <c r="B273" s="13" t="s">
        <v>33</v>
      </c>
      <c r="C273" s="13" t="s">
        <v>34</v>
      </c>
      <c r="D273" s="13" t="s">
        <v>28</v>
      </c>
      <c r="E273" s="13" t="s">
        <v>37</v>
      </c>
      <c r="F273" s="13">
        <v>14.58</v>
      </c>
      <c r="G273" s="13">
        <v>3</v>
      </c>
      <c r="H273" s="13">
        <v>43.74</v>
      </c>
      <c r="I273" s="13" t="s">
        <v>23</v>
      </c>
      <c r="J273" s="13">
        <v>4</v>
      </c>
    </row>
    <row r="274" spans="1:10" ht="15.75" x14ac:dyDescent="0.25">
      <c r="A274" s="10">
        <v>45683</v>
      </c>
      <c r="B274" s="11" t="s">
        <v>40</v>
      </c>
      <c r="C274" s="11" t="s">
        <v>11</v>
      </c>
      <c r="D274" s="11" t="s">
        <v>28</v>
      </c>
      <c r="E274" s="11" t="s">
        <v>17</v>
      </c>
      <c r="F274" s="11">
        <v>23.17</v>
      </c>
      <c r="G274" s="11">
        <v>3</v>
      </c>
      <c r="H274" s="11">
        <v>69.510000000000005</v>
      </c>
      <c r="I274" s="11" t="s">
        <v>23</v>
      </c>
      <c r="J274" s="11">
        <v>4.5999999999999996</v>
      </c>
    </row>
    <row r="275" spans="1:10" ht="15.75" x14ac:dyDescent="0.25">
      <c r="A275" s="12">
        <v>45819</v>
      </c>
      <c r="B275" s="13" t="s">
        <v>40</v>
      </c>
      <c r="C275" s="13" t="s">
        <v>11</v>
      </c>
      <c r="D275" s="13" t="s">
        <v>30</v>
      </c>
      <c r="E275" s="13" t="s">
        <v>22</v>
      </c>
      <c r="F275" s="13">
        <v>17.739999999999998</v>
      </c>
      <c r="G275" s="13">
        <v>2</v>
      </c>
      <c r="H275" s="13">
        <v>35.479999999999997</v>
      </c>
      <c r="I275" s="13" t="s">
        <v>23</v>
      </c>
      <c r="J275" s="13">
        <v>4.7</v>
      </c>
    </row>
    <row r="276" spans="1:10" ht="15.75" x14ac:dyDescent="0.25">
      <c r="A276" s="10">
        <v>45677</v>
      </c>
      <c r="B276" s="11" t="s">
        <v>15</v>
      </c>
      <c r="C276" s="11" t="s">
        <v>16</v>
      </c>
      <c r="D276" s="11" t="s">
        <v>35</v>
      </c>
      <c r="E276" s="11" t="s">
        <v>41</v>
      </c>
      <c r="F276" s="11">
        <v>16.8</v>
      </c>
      <c r="G276" s="11">
        <v>3</v>
      </c>
      <c r="H276" s="11">
        <v>50.4</v>
      </c>
      <c r="I276" s="11" t="s">
        <v>23</v>
      </c>
      <c r="J276" s="11">
        <v>4.5999999999999996</v>
      </c>
    </row>
    <row r="277" spans="1:10" ht="15.75" x14ac:dyDescent="0.25">
      <c r="A277" s="12">
        <v>45726</v>
      </c>
      <c r="B277" s="13" t="s">
        <v>19</v>
      </c>
      <c r="C277" s="13" t="s">
        <v>20</v>
      </c>
      <c r="D277" s="13" t="s">
        <v>30</v>
      </c>
      <c r="E277" s="13" t="s">
        <v>13</v>
      </c>
      <c r="F277" s="13">
        <v>87.11</v>
      </c>
      <c r="G277" s="13">
        <v>1</v>
      </c>
      <c r="H277" s="13">
        <v>87.11</v>
      </c>
      <c r="I277" s="13" t="s">
        <v>32</v>
      </c>
      <c r="J277" s="13">
        <v>4</v>
      </c>
    </row>
    <row r="278" spans="1:10" ht="15.75" x14ac:dyDescent="0.25">
      <c r="A278" s="10">
        <v>45681</v>
      </c>
      <c r="B278" s="11" t="s">
        <v>38</v>
      </c>
      <c r="C278" s="11" t="s">
        <v>39</v>
      </c>
      <c r="D278" s="11" t="s">
        <v>35</v>
      </c>
      <c r="E278" s="11" t="s">
        <v>17</v>
      </c>
      <c r="F278" s="11">
        <v>19.68</v>
      </c>
      <c r="G278" s="11">
        <v>3</v>
      </c>
      <c r="H278" s="11">
        <v>59.04</v>
      </c>
      <c r="I278" s="11" t="s">
        <v>18</v>
      </c>
      <c r="J278" s="11">
        <v>4.5999999999999996</v>
      </c>
    </row>
    <row r="279" spans="1:10" ht="15.75" x14ac:dyDescent="0.25">
      <c r="A279" s="12">
        <v>45769</v>
      </c>
      <c r="B279" s="13" t="s">
        <v>26</v>
      </c>
      <c r="C279" s="13" t="s">
        <v>27</v>
      </c>
      <c r="D279" s="13" t="s">
        <v>35</v>
      </c>
      <c r="E279" s="13" t="s">
        <v>31</v>
      </c>
      <c r="F279" s="13">
        <v>99.11</v>
      </c>
      <c r="G279" s="13">
        <v>1</v>
      </c>
      <c r="H279" s="13">
        <v>99.11</v>
      </c>
      <c r="I279" s="13" t="s">
        <v>23</v>
      </c>
      <c r="J279" s="13">
        <v>3.9</v>
      </c>
    </row>
    <row r="280" spans="1:10" ht="15.75" x14ac:dyDescent="0.25">
      <c r="A280" s="10">
        <v>45730</v>
      </c>
      <c r="B280" s="11" t="s">
        <v>40</v>
      </c>
      <c r="C280" s="11" t="s">
        <v>11</v>
      </c>
      <c r="D280" s="11" t="s">
        <v>28</v>
      </c>
      <c r="E280" s="11" t="s">
        <v>41</v>
      </c>
      <c r="F280" s="11">
        <v>16.760000000000002</v>
      </c>
      <c r="G280" s="11">
        <v>3</v>
      </c>
      <c r="H280" s="11">
        <v>50.28</v>
      </c>
      <c r="I280" s="11" t="s">
        <v>23</v>
      </c>
      <c r="J280" s="11">
        <v>4.0999999999999996</v>
      </c>
    </row>
    <row r="281" spans="1:10" ht="15.75" x14ac:dyDescent="0.25">
      <c r="A281" s="12">
        <v>45731</v>
      </c>
      <c r="B281" s="13" t="s">
        <v>26</v>
      </c>
      <c r="C281" s="13" t="s">
        <v>27</v>
      </c>
      <c r="D281" s="13" t="s">
        <v>29</v>
      </c>
      <c r="E281" s="13" t="s">
        <v>22</v>
      </c>
      <c r="F281" s="13">
        <v>43.47</v>
      </c>
      <c r="G281" s="13">
        <v>3</v>
      </c>
      <c r="H281" s="13">
        <v>130.41</v>
      </c>
      <c r="I281" s="13" t="s">
        <v>18</v>
      </c>
      <c r="J281" s="13">
        <v>4.4000000000000004</v>
      </c>
    </row>
    <row r="282" spans="1:10" ht="15.75" x14ac:dyDescent="0.25">
      <c r="A282" s="10">
        <v>45724</v>
      </c>
      <c r="B282" s="11" t="s">
        <v>24</v>
      </c>
      <c r="C282" s="11" t="s">
        <v>25</v>
      </c>
      <c r="D282" s="11" t="s">
        <v>29</v>
      </c>
      <c r="E282" s="11" t="s">
        <v>22</v>
      </c>
      <c r="F282" s="11">
        <v>44.77</v>
      </c>
      <c r="G282" s="11">
        <v>2</v>
      </c>
      <c r="H282" s="11">
        <v>89.54</v>
      </c>
      <c r="I282" s="11" t="s">
        <v>18</v>
      </c>
      <c r="J282" s="11">
        <v>3.6</v>
      </c>
    </row>
    <row r="283" spans="1:10" ht="15.75" x14ac:dyDescent="0.25">
      <c r="A283" s="12">
        <v>45727</v>
      </c>
      <c r="B283" s="13" t="s">
        <v>15</v>
      </c>
      <c r="C283" s="13" t="s">
        <v>16</v>
      </c>
      <c r="D283" s="13" t="s">
        <v>30</v>
      </c>
      <c r="E283" s="13" t="s">
        <v>31</v>
      </c>
      <c r="F283" s="13">
        <v>99.85</v>
      </c>
      <c r="G283" s="13">
        <v>2</v>
      </c>
      <c r="H283" s="13">
        <v>199.7</v>
      </c>
      <c r="I283" s="13" t="s">
        <v>32</v>
      </c>
      <c r="J283" s="13">
        <v>3.9</v>
      </c>
    </row>
    <row r="284" spans="1:10" ht="15.75" x14ac:dyDescent="0.25">
      <c r="A284" s="10">
        <v>45794</v>
      </c>
      <c r="B284" s="11" t="s">
        <v>26</v>
      </c>
      <c r="C284" s="11" t="s">
        <v>27</v>
      </c>
      <c r="D284" s="11" t="s">
        <v>21</v>
      </c>
      <c r="E284" s="11" t="s">
        <v>41</v>
      </c>
      <c r="F284" s="11">
        <v>32.36</v>
      </c>
      <c r="G284" s="11">
        <v>2</v>
      </c>
      <c r="H284" s="11">
        <v>64.72</v>
      </c>
      <c r="I284" s="11" t="s">
        <v>18</v>
      </c>
      <c r="J284" s="11">
        <v>4.4000000000000004</v>
      </c>
    </row>
    <row r="285" spans="1:10" ht="15.75" x14ac:dyDescent="0.25">
      <c r="A285" s="12">
        <v>45785</v>
      </c>
      <c r="B285" s="13" t="s">
        <v>24</v>
      </c>
      <c r="C285" s="13" t="s">
        <v>25</v>
      </c>
      <c r="D285" s="13" t="s">
        <v>12</v>
      </c>
      <c r="E285" s="13" t="s">
        <v>37</v>
      </c>
      <c r="F285" s="13">
        <v>35.06</v>
      </c>
      <c r="G285" s="13">
        <v>2</v>
      </c>
      <c r="H285" s="13">
        <v>70.12</v>
      </c>
      <c r="I285" s="13" t="s">
        <v>18</v>
      </c>
      <c r="J285" s="13">
        <v>4.2</v>
      </c>
    </row>
    <row r="286" spans="1:10" ht="15.75" x14ac:dyDescent="0.25">
      <c r="A286" s="10">
        <v>45688</v>
      </c>
      <c r="B286" s="11" t="s">
        <v>33</v>
      </c>
      <c r="C286" s="11" t="s">
        <v>34</v>
      </c>
      <c r="D286" s="11" t="s">
        <v>12</v>
      </c>
      <c r="E286" s="11" t="s">
        <v>31</v>
      </c>
      <c r="F286" s="11">
        <v>69.599999999999994</v>
      </c>
      <c r="G286" s="11">
        <v>1</v>
      </c>
      <c r="H286" s="11">
        <v>69.599999999999994</v>
      </c>
      <c r="I286" s="11" t="s">
        <v>32</v>
      </c>
      <c r="J286" s="11">
        <v>3.6</v>
      </c>
    </row>
    <row r="287" spans="1:10" ht="15.75" x14ac:dyDescent="0.25">
      <c r="A287" s="12">
        <v>45765</v>
      </c>
      <c r="B287" s="13" t="s">
        <v>19</v>
      </c>
      <c r="C287" s="13" t="s">
        <v>20</v>
      </c>
      <c r="D287" s="13" t="s">
        <v>29</v>
      </c>
      <c r="E287" s="13" t="s">
        <v>41</v>
      </c>
      <c r="F287" s="13">
        <v>16.68</v>
      </c>
      <c r="G287" s="13">
        <v>3</v>
      </c>
      <c r="H287" s="13">
        <v>50.04</v>
      </c>
      <c r="I287" s="13" t="s">
        <v>14</v>
      </c>
      <c r="J287" s="13">
        <v>3.5</v>
      </c>
    </row>
    <row r="288" spans="1:10" ht="15.75" x14ac:dyDescent="0.25">
      <c r="A288" s="10">
        <v>45741</v>
      </c>
      <c r="B288" s="11" t="s">
        <v>24</v>
      </c>
      <c r="C288" s="11" t="s">
        <v>25</v>
      </c>
      <c r="D288" s="11" t="s">
        <v>30</v>
      </c>
      <c r="E288" s="11" t="s">
        <v>36</v>
      </c>
      <c r="F288" s="11">
        <v>91.05</v>
      </c>
      <c r="G288" s="11">
        <v>3</v>
      </c>
      <c r="H288" s="11">
        <v>273.14999999999998</v>
      </c>
      <c r="I288" s="11" t="s">
        <v>18</v>
      </c>
      <c r="J288" s="11">
        <v>4.3</v>
      </c>
    </row>
    <row r="289" spans="1:10" ht="15.75" x14ac:dyDescent="0.25">
      <c r="A289" s="12">
        <v>45748</v>
      </c>
      <c r="B289" s="13" t="s">
        <v>10</v>
      </c>
      <c r="C289" s="13" t="s">
        <v>11</v>
      </c>
      <c r="D289" s="13" t="s">
        <v>30</v>
      </c>
      <c r="E289" s="13" t="s">
        <v>37</v>
      </c>
      <c r="F289" s="13">
        <v>32.07</v>
      </c>
      <c r="G289" s="13">
        <v>3</v>
      </c>
      <c r="H289" s="13">
        <v>96.21</v>
      </c>
      <c r="I289" s="13" t="s">
        <v>23</v>
      </c>
      <c r="J289" s="13">
        <v>4.0999999999999996</v>
      </c>
    </row>
    <row r="290" spans="1:10" ht="15.75" x14ac:dyDescent="0.25">
      <c r="A290" s="10">
        <v>45785</v>
      </c>
      <c r="B290" s="11" t="s">
        <v>38</v>
      </c>
      <c r="C290" s="11" t="s">
        <v>39</v>
      </c>
      <c r="D290" s="11" t="s">
        <v>12</v>
      </c>
      <c r="E290" s="11" t="s">
        <v>41</v>
      </c>
      <c r="F290" s="11">
        <v>14.02</v>
      </c>
      <c r="G290" s="11">
        <v>2</v>
      </c>
      <c r="H290" s="11">
        <v>28.04</v>
      </c>
      <c r="I290" s="11" t="s">
        <v>32</v>
      </c>
      <c r="J290" s="11">
        <v>3.7</v>
      </c>
    </row>
    <row r="291" spans="1:10" ht="15.75" x14ac:dyDescent="0.25">
      <c r="A291" s="12">
        <v>45781</v>
      </c>
      <c r="B291" s="13" t="s">
        <v>33</v>
      </c>
      <c r="C291" s="13" t="s">
        <v>34</v>
      </c>
      <c r="D291" s="13" t="s">
        <v>21</v>
      </c>
      <c r="E291" s="13" t="s">
        <v>22</v>
      </c>
      <c r="F291" s="13">
        <v>73.14</v>
      </c>
      <c r="G291" s="13">
        <v>3</v>
      </c>
      <c r="H291" s="13">
        <v>219.42</v>
      </c>
      <c r="I291" s="13" t="s">
        <v>18</v>
      </c>
      <c r="J291" s="13">
        <v>3.7</v>
      </c>
    </row>
    <row r="292" spans="1:10" ht="15.75" x14ac:dyDescent="0.25">
      <c r="A292" s="10">
        <v>45716</v>
      </c>
      <c r="B292" s="11" t="s">
        <v>40</v>
      </c>
      <c r="C292" s="11" t="s">
        <v>11</v>
      </c>
      <c r="D292" s="11" t="s">
        <v>28</v>
      </c>
      <c r="E292" s="11" t="s">
        <v>17</v>
      </c>
      <c r="F292" s="11">
        <v>67.62</v>
      </c>
      <c r="G292" s="11">
        <v>3</v>
      </c>
      <c r="H292" s="11">
        <v>202.86</v>
      </c>
      <c r="I292" s="11" t="s">
        <v>14</v>
      </c>
      <c r="J292" s="11">
        <v>4.4000000000000004</v>
      </c>
    </row>
    <row r="293" spans="1:10" ht="15.75" x14ac:dyDescent="0.25">
      <c r="A293" s="12">
        <v>45661</v>
      </c>
      <c r="B293" s="13" t="s">
        <v>10</v>
      </c>
      <c r="C293" s="13" t="s">
        <v>11</v>
      </c>
      <c r="D293" s="13" t="s">
        <v>28</v>
      </c>
      <c r="E293" s="13" t="s">
        <v>36</v>
      </c>
      <c r="F293" s="13">
        <v>95.73</v>
      </c>
      <c r="G293" s="13">
        <v>3</v>
      </c>
      <c r="H293" s="13">
        <v>287.19</v>
      </c>
      <c r="I293" s="13" t="s">
        <v>32</v>
      </c>
      <c r="J293" s="13">
        <v>4.8</v>
      </c>
    </row>
    <row r="294" spans="1:10" ht="15.75" x14ac:dyDescent="0.25">
      <c r="A294" s="10">
        <v>45665</v>
      </c>
      <c r="B294" s="11" t="s">
        <v>26</v>
      </c>
      <c r="C294" s="11" t="s">
        <v>27</v>
      </c>
      <c r="D294" s="11" t="s">
        <v>35</v>
      </c>
      <c r="E294" s="11" t="s">
        <v>37</v>
      </c>
      <c r="F294" s="11">
        <v>23.88</v>
      </c>
      <c r="G294" s="11">
        <v>1</v>
      </c>
      <c r="H294" s="11">
        <v>23.88</v>
      </c>
      <c r="I294" s="11" t="s">
        <v>18</v>
      </c>
      <c r="J294" s="11">
        <v>3.7</v>
      </c>
    </row>
    <row r="295" spans="1:10" ht="15.75" x14ac:dyDescent="0.25">
      <c r="A295" s="12">
        <v>45720</v>
      </c>
      <c r="B295" s="13" t="s">
        <v>15</v>
      </c>
      <c r="C295" s="13" t="s">
        <v>16</v>
      </c>
      <c r="D295" s="13" t="s">
        <v>35</v>
      </c>
      <c r="E295" s="13" t="s">
        <v>36</v>
      </c>
      <c r="F295" s="13">
        <v>47.56</v>
      </c>
      <c r="G295" s="13">
        <v>3</v>
      </c>
      <c r="H295" s="13">
        <v>142.68</v>
      </c>
      <c r="I295" s="13" t="s">
        <v>32</v>
      </c>
      <c r="J295" s="13">
        <v>4.9000000000000004</v>
      </c>
    </row>
    <row r="296" spans="1:10" ht="15.75" x14ac:dyDescent="0.25">
      <c r="A296" s="10">
        <v>45684</v>
      </c>
      <c r="B296" s="11" t="s">
        <v>40</v>
      </c>
      <c r="C296" s="11" t="s">
        <v>11</v>
      </c>
      <c r="D296" s="11" t="s">
        <v>12</v>
      </c>
      <c r="E296" s="11" t="s">
        <v>36</v>
      </c>
      <c r="F296" s="11">
        <v>84.47</v>
      </c>
      <c r="G296" s="11">
        <v>2</v>
      </c>
      <c r="H296" s="11">
        <v>168.94</v>
      </c>
      <c r="I296" s="11" t="s">
        <v>23</v>
      </c>
      <c r="J296" s="11">
        <v>3.6</v>
      </c>
    </row>
    <row r="297" spans="1:10" ht="15.75" x14ac:dyDescent="0.25">
      <c r="A297" s="12">
        <v>45661</v>
      </c>
      <c r="B297" s="13" t="s">
        <v>24</v>
      </c>
      <c r="C297" s="13" t="s">
        <v>25</v>
      </c>
      <c r="D297" s="13" t="s">
        <v>12</v>
      </c>
      <c r="E297" s="13" t="s">
        <v>31</v>
      </c>
      <c r="F297" s="13">
        <v>75.98</v>
      </c>
      <c r="G297" s="13">
        <v>3</v>
      </c>
      <c r="H297" s="13">
        <v>227.94</v>
      </c>
      <c r="I297" s="13" t="s">
        <v>23</v>
      </c>
      <c r="J297" s="13">
        <v>4.5</v>
      </c>
    </row>
    <row r="298" spans="1:10" ht="15.75" x14ac:dyDescent="0.25">
      <c r="A298" s="10">
        <v>45760</v>
      </c>
      <c r="B298" s="11" t="s">
        <v>26</v>
      </c>
      <c r="C298" s="11" t="s">
        <v>27</v>
      </c>
      <c r="D298" s="11" t="s">
        <v>30</v>
      </c>
      <c r="E298" s="11" t="s">
        <v>41</v>
      </c>
      <c r="F298" s="11">
        <v>34.21</v>
      </c>
      <c r="G298" s="11">
        <v>1</v>
      </c>
      <c r="H298" s="11">
        <v>34.21</v>
      </c>
      <c r="I298" s="11" t="s">
        <v>18</v>
      </c>
      <c r="J298" s="11">
        <v>3.6</v>
      </c>
    </row>
    <row r="299" spans="1:10" ht="15.75" x14ac:dyDescent="0.25">
      <c r="A299" s="12">
        <v>45825</v>
      </c>
      <c r="B299" s="13" t="s">
        <v>38</v>
      </c>
      <c r="C299" s="13" t="s">
        <v>39</v>
      </c>
      <c r="D299" s="13" t="s">
        <v>21</v>
      </c>
      <c r="E299" s="13" t="s">
        <v>17</v>
      </c>
      <c r="F299" s="13">
        <v>80.52</v>
      </c>
      <c r="G299" s="13">
        <v>2</v>
      </c>
      <c r="H299" s="13">
        <v>161.04</v>
      </c>
      <c r="I299" s="13" t="s">
        <v>23</v>
      </c>
      <c r="J299" s="13">
        <v>4.8</v>
      </c>
    </row>
    <row r="300" spans="1:10" ht="15.75" x14ac:dyDescent="0.25">
      <c r="A300" s="10">
        <v>45674</v>
      </c>
      <c r="B300" s="11" t="s">
        <v>40</v>
      </c>
      <c r="C300" s="11" t="s">
        <v>11</v>
      </c>
      <c r="D300" s="11" t="s">
        <v>12</v>
      </c>
      <c r="E300" s="11" t="s">
        <v>41</v>
      </c>
      <c r="F300" s="11">
        <v>85.37</v>
      </c>
      <c r="G300" s="11">
        <v>2</v>
      </c>
      <c r="H300" s="11">
        <v>170.74</v>
      </c>
      <c r="I300" s="11" t="s">
        <v>32</v>
      </c>
      <c r="J300" s="11">
        <v>4.4000000000000004</v>
      </c>
    </row>
    <row r="301" spans="1:10" ht="15.75" x14ac:dyDescent="0.25">
      <c r="A301" s="12">
        <v>45811</v>
      </c>
      <c r="B301" s="13" t="s">
        <v>40</v>
      </c>
      <c r="C301" s="13" t="s">
        <v>11</v>
      </c>
      <c r="D301" s="13" t="s">
        <v>30</v>
      </c>
      <c r="E301" s="13" t="s">
        <v>17</v>
      </c>
      <c r="F301" s="13">
        <v>56.52</v>
      </c>
      <c r="G301" s="13">
        <v>3</v>
      </c>
      <c r="H301" s="13">
        <v>169.56</v>
      </c>
      <c r="I301" s="13" t="s">
        <v>14</v>
      </c>
      <c r="J301" s="13">
        <v>4.5999999999999996</v>
      </c>
    </row>
  </sheetData>
  <dataValidations count="1">
    <dataValidation type="list" allowBlank="1" showInputMessage="1" showErrorMessage="1" sqref="M3" xr:uid="{D20DF67B-455C-4FA7-B63F-A2FB6E725423}">
      <formula1>$M$15:$M$21</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0C6E-F534-4103-A9F5-B3B991D15B38}">
  <dimension ref="A1:R39"/>
  <sheetViews>
    <sheetView showGridLines="0" tabSelected="1" zoomScale="80" zoomScaleNormal="80" workbookViewId="0">
      <selection activeCell="R9" sqref="R9"/>
    </sheetView>
  </sheetViews>
  <sheetFormatPr defaultRowHeight="15" x14ac:dyDescent="0.25"/>
  <cols>
    <col min="11" max="11" width="26.28515625" bestFit="1" customWidth="1"/>
    <col min="13" max="13" width="18.140625" bestFit="1" customWidth="1"/>
    <col min="15" max="15" width="8.28515625" customWidth="1"/>
    <col min="16" max="16" width="22.140625" customWidth="1"/>
    <col min="17" max="17" width="6" customWidth="1"/>
    <col min="18" max="310" width="16.7109375" bestFit="1" customWidth="1"/>
    <col min="311" max="311" width="11.5703125" bestFit="1" customWidth="1"/>
  </cols>
  <sheetData>
    <row r="1" spans="1:18" ht="53.25" customHeight="1" thickBot="1" x14ac:dyDescent="0.3">
      <c r="A1" s="23" t="s">
        <v>57</v>
      </c>
      <c r="B1" s="24"/>
      <c r="C1" s="24"/>
      <c r="D1" s="24"/>
      <c r="E1" s="24"/>
      <c r="F1" s="24"/>
      <c r="G1" s="24"/>
      <c r="H1" s="24"/>
      <c r="I1" s="24"/>
      <c r="J1" s="24"/>
      <c r="K1" s="24"/>
      <c r="L1" s="24"/>
      <c r="M1" s="24"/>
      <c r="N1" s="25"/>
      <c r="O1" s="25"/>
      <c r="P1" s="25"/>
      <c r="Q1" s="25"/>
      <c r="R1" s="20"/>
    </row>
    <row r="2" spans="1:18" x14ac:dyDescent="0.25">
      <c r="A2" s="15"/>
      <c r="B2" s="15"/>
      <c r="C2" s="15"/>
      <c r="D2" s="15"/>
      <c r="E2" s="15"/>
      <c r="F2" s="15"/>
      <c r="G2" s="15"/>
      <c r="H2" s="15"/>
      <c r="I2" s="15"/>
      <c r="J2" s="15"/>
      <c r="K2" s="15"/>
      <c r="L2" s="15"/>
      <c r="M2" s="15"/>
      <c r="N2" s="15"/>
      <c r="O2" s="15"/>
      <c r="P2" s="15"/>
      <c r="Q2" s="15"/>
      <c r="R2" s="21"/>
    </row>
    <row r="3" spans="1:18" ht="21" x14ac:dyDescent="0.35">
      <c r="A3" s="15"/>
      <c r="B3" s="15"/>
      <c r="C3" s="15"/>
      <c r="D3" s="15"/>
      <c r="E3" s="15"/>
      <c r="F3" s="15"/>
      <c r="G3" s="15"/>
      <c r="H3" s="15"/>
      <c r="I3" s="15"/>
      <c r="J3" s="15"/>
      <c r="K3" s="16" t="s">
        <v>54</v>
      </c>
      <c r="L3" s="17"/>
      <c r="M3" s="16" t="s">
        <v>55</v>
      </c>
      <c r="N3" s="15"/>
      <c r="O3" s="15"/>
      <c r="P3" s="16" t="s">
        <v>56</v>
      </c>
      <c r="Q3" s="15"/>
      <c r="R3" s="21"/>
    </row>
    <row r="4" spans="1:18" ht="23.25" x14ac:dyDescent="0.35">
      <c r="A4" s="15"/>
      <c r="B4" s="15"/>
      <c r="C4" s="15"/>
      <c r="D4" s="15"/>
      <c r="E4" s="15"/>
      <c r="F4" s="15"/>
      <c r="G4" s="15"/>
      <c r="H4" s="15"/>
      <c r="I4" s="15"/>
      <c r="J4" s="15"/>
      <c r="K4" s="18">
        <v>618</v>
      </c>
      <c r="L4" s="17"/>
      <c r="M4" s="22">
        <v>34017.89</v>
      </c>
      <c r="N4" s="15"/>
      <c r="O4" s="15"/>
      <c r="P4" s="19">
        <v>54.908966666666664</v>
      </c>
      <c r="Q4" s="15"/>
      <c r="R4" s="21"/>
    </row>
    <row r="5" spans="1:18" x14ac:dyDescent="0.25">
      <c r="A5" s="15"/>
      <c r="B5" s="15"/>
      <c r="C5" s="15"/>
      <c r="D5" s="15"/>
      <c r="E5" s="15"/>
      <c r="F5" s="15"/>
      <c r="G5" s="15"/>
      <c r="H5" s="15"/>
      <c r="I5" s="15"/>
      <c r="J5" s="15"/>
      <c r="K5" s="17"/>
      <c r="L5" s="17"/>
      <c r="M5" s="15"/>
      <c r="N5" s="15"/>
      <c r="O5" s="15"/>
      <c r="P5" s="15"/>
      <c r="Q5" s="15"/>
      <c r="R5" s="21"/>
    </row>
    <row r="6" spans="1:18" x14ac:dyDescent="0.25">
      <c r="A6" s="15"/>
      <c r="B6" s="15"/>
      <c r="C6" s="15"/>
      <c r="D6" s="15"/>
      <c r="E6" s="15"/>
      <c r="F6" s="15"/>
      <c r="G6" s="15"/>
      <c r="H6" s="15"/>
      <c r="I6" s="15"/>
      <c r="J6" s="15"/>
      <c r="K6" s="15"/>
      <c r="L6" s="15"/>
      <c r="M6" s="15"/>
      <c r="N6" s="15"/>
      <c r="O6" s="15"/>
      <c r="P6" s="15"/>
      <c r="Q6" s="15"/>
      <c r="R6" s="21"/>
    </row>
    <row r="7" spans="1:18" x14ac:dyDescent="0.25">
      <c r="A7" s="15"/>
      <c r="B7" s="15"/>
      <c r="C7" s="15"/>
      <c r="D7" s="15"/>
      <c r="E7" s="15"/>
      <c r="F7" s="15"/>
      <c r="G7" s="15"/>
      <c r="H7" s="15"/>
      <c r="I7" s="15"/>
      <c r="J7" s="15"/>
      <c r="K7" s="15"/>
      <c r="L7" s="15"/>
      <c r="M7" s="15"/>
      <c r="N7" s="15"/>
      <c r="O7" s="15"/>
      <c r="P7" s="15"/>
      <c r="Q7" s="15"/>
      <c r="R7" s="21"/>
    </row>
    <row r="8" spans="1:18" x14ac:dyDescent="0.25">
      <c r="A8" s="15"/>
      <c r="B8" s="15"/>
      <c r="C8" s="15"/>
      <c r="D8" s="15"/>
      <c r="E8" s="15"/>
      <c r="F8" s="15"/>
      <c r="G8" s="15"/>
      <c r="H8" s="15"/>
      <c r="I8" s="15"/>
      <c r="J8" s="15"/>
      <c r="K8" s="15"/>
      <c r="L8" s="15"/>
      <c r="M8" s="15"/>
      <c r="N8" s="15"/>
      <c r="O8" s="15"/>
      <c r="P8" s="15"/>
      <c r="Q8" s="15"/>
      <c r="R8" s="21"/>
    </row>
    <row r="9" spans="1:18" x14ac:dyDescent="0.25">
      <c r="A9" s="15"/>
      <c r="B9" s="15"/>
      <c r="C9" s="15"/>
      <c r="D9" s="15"/>
      <c r="E9" s="15"/>
      <c r="F9" s="15"/>
      <c r="G9" s="15"/>
      <c r="H9" s="15"/>
      <c r="I9" s="15"/>
      <c r="J9" s="15"/>
      <c r="K9" s="15"/>
      <c r="L9" s="15"/>
      <c r="M9" s="15"/>
      <c r="N9" s="15"/>
      <c r="O9" s="15"/>
      <c r="P9" s="15"/>
      <c r="Q9" s="15"/>
      <c r="R9" s="21"/>
    </row>
    <row r="10" spans="1:18" x14ac:dyDescent="0.25">
      <c r="A10" s="15"/>
      <c r="B10" s="15"/>
      <c r="C10" s="15"/>
      <c r="D10" s="15"/>
      <c r="E10" s="15"/>
      <c r="F10" s="15"/>
      <c r="G10" s="15"/>
      <c r="H10" s="15"/>
      <c r="I10" s="15"/>
      <c r="J10" s="15"/>
      <c r="K10" s="15"/>
      <c r="L10" s="15"/>
      <c r="M10" s="15"/>
      <c r="N10" s="15"/>
      <c r="O10" s="15"/>
      <c r="P10" s="15"/>
      <c r="Q10" s="15"/>
      <c r="R10" s="21"/>
    </row>
    <row r="11" spans="1:18" x14ac:dyDescent="0.25">
      <c r="A11" s="15"/>
      <c r="B11" s="15"/>
      <c r="C11" s="15"/>
      <c r="D11" s="15"/>
      <c r="E11" s="15"/>
      <c r="F11" s="15"/>
      <c r="G11" s="15"/>
      <c r="H11" s="15"/>
      <c r="I11" s="15"/>
      <c r="J11" s="15"/>
      <c r="K11" s="15"/>
      <c r="L11" s="15"/>
      <c r="M11" s="15"/>
      <c r="N11" s="15"/>
      <c r="O11" s="15"/>
      <c r="P11" s="15"/>
      <c r="Q11" s="15"/>
      <c r="R11" s="21"/>
    </row>
    <row r="12" spans="1:18" x14ac:dyDescent="0.25">
      <c r="A12" s="15"/>
      <c r="B12" s="15"/>
      <c r="C12" s="15"/>
      <c r="D12" s="15"/>
      <c r="E12" s="15"/>
      <c r="F12" s="15"/>
      <c r="G12" s="15"/>
      <c r="H12" s="15"/>
      <c r="I12" s="15"/>
      <c r="J12" s="15"/>
      <c r="K12" s="15"/>
      <c r="L12" s="15"/>
      <c r="M12" s="15"/>
      <c r="N12" s="15"/>
      <c r="O12" s="15"/>
      <c r="P12" s="15"/>
      <c r="Q12" s="15"/>
      <c r="R12" s="21"/>
    </row>
    <row r="13" spans="1:18" x14ac:dyDescent="0.25">
      <c r="A13" s="15"/>
      <c r="B13" s="15"/>
      <c r="C13" s="15"/>
      <c r="D13" s="15"/>
      <c r="E13" s="15"/>
      <c r="F13" s="15"/>
      <c r="G13" s="15"/>
      <c r="H13" s="15"/>
      <c r="I13" s="15"/>
      <c r="J13" s="15"/>
      <c r="K13" s="15"/>
      <c r="L13" s="15"/>
      <c r="M13" s="15"/>
      <c r="N13" s="15"/>
      <c r="O13" s="15"/>
      <c r="P13" s="15"/>
      <c r="Q13" s="15"/>
      <c r="R13" s="21"/>
    </row>
    <row r="14" spans="1:18" x14ac:dyDescent="0.25">
      <c r="A14" s="15"/>
      <c r="B14" s="15"/>
      <c r="C14" s="15"/>
      <c r="D14" s="15"/>
      <c r="E14" s="15"/>
      <c r="F14" s="15"/>
      <c r="G14" s="15"/>
      <c r="H14" s="15"/>
      <c r="I14" s="15"/>
      <c r="J14" s="15"/>
      <c r="K14" s="15"/>
      <c r="L14" s="15"/>
      <c r="M14" s="15"/>
      <c r="N14" s="15"/>
      <c r="O14" s="15"/>
      <c r="P14" s="15"/>
      <c r="Q14" s="15"/>
      <c r="R14" s="21"/>
    </row>
    <row r="15" spans="1:18" x14ac:dyDescent="0.25">
      <c r="A15" s="15"/>
      <c r="B15" s="15"/>
      <c r="C15" s="15"/>
      <c r="D15" s="15"/>
      <c r="E15" s="15"/>
      <c r="F15" s="15"/>
      <c r="G15" s="15"/>
      <c r="H15" s="15"/>
      <c r="I15" s="15"/>
      <c r="J15" s="15"/>
      <c r="K15" s="15"/>
      <c r="L15" s="15"/>
      <c r="M15" s="15"/>
      <c r="N15" s="15"/>
      <c r="O15" s="15"/>
      <c r="P15" s="15"/>
      <c r="Q15" s="15"/>
      <c r="R15" s="21"/>
    </row>
    <row r="16" spans="1:18" x14ac:dyDescent="0.25">
      <c r="A16" s="15"/>
      <c r="B16" s="15"/>
      <c r="C16" s="15"/>
      <c r="D16" s="15"/>
      <c r="E16" s="15"/>
      <c r="F16" s="15"/>
      <c r="G16" s="15"/>
      <c r="H16" s="15"/>
      <c r="I16" s="15"/>
      <c r="J16" s="15"/>
      <c r="K16" s="15"/>
      <c r="L16" s="15"/>
      <c r="M16" s="15"/>
      <c r="N16" s="15"/>
      <c r="O16" s="15"/>
      <c r="P16" s="15"/>
      <c r="Q16" s="15"/>
      <c r="R16" s="21"/>
    </row>
    <row r="17" spans="1:18" x14ac:dyDescent="0.25">
      <c r="A17" s="15"/>
      <c r="B17" s="15"/>
      <c r="C17" s="15"/>
      <c r="D17" s="15"/>
      <c r="E17" s="15"/>
      <c r="F17" s="15"/>
      <c r="G17" s="15"/>
      <c r="H17" s="15"/>
      <c r="I17" s="15"/>
      <c r="J17" s="15"/>
      <c r="K17" s="15"/>
      <c r="L17" s="15"/>
      <c r="M17" s="15"/>
      <c r="N17" s="15"/>
      <c r="O17" s="15"/>
      <c r="P17" s="15"/>
      <c r="Q17" s="15"/>
      <c r="R17" s="21"/>
    </row>
    <row r="18" spans="1:18" x14ac:dyDescent="0.25">
      <c r="A18" s="15"/>
      <c r="B18" s="15"/>
      <c r="C18" s="15"/>
      <c r="D18" s="15"/>
      <c r="E18" s="15"/>
      <c r="F18" s="15"/>
      <c r="G18" s="15"/>
      <c r="H18" s="15"/>
      <c r="I18" s="15"/>
      <c r="J18" s="15"/>
      <c r="K18" s="15"/>
      <c r="L18" s="15"/>
      <c r="M18" s="15"/>
      <c r="N18" s="15"/>
      <c r="O18" s="15"/>
      <c r="P18" s="15"/>
      <c r="Q18" s="15"/>
      <c r="R18" s="21"/>
    </row>
    <row r="19" spans="1:18" x14ac:dyDescent="0.25">
      <c r="A19" s="15"/>
      <c r="B19" s="15"/>
      <c r="C19" s="15"/>
      <c r="D19" s="15"/>
      <c r="E19" s="15"/>
      <c r="F19" s="15"/>
      <c r="G19" s="15"/>
      <c r="H19" s="15"/>
      <c r="I19" s="15"/>
      <c r="J19" s="15"/>
      <c r="K19" s="15"/>
      <c r="L19" s="15"/>
      <c r="M19" s="15"/>
      <c r="N19" s="15"/>
      <c r="O19" s="15"/>
      <c r="P19" s="15"/>
      <c r="Q19" s="15"/>
      <c r="R19" s="21"/>
    </row>
    <row r="20" spans="1:18" x14ac:dyDescent="0.25">
      <c r="A20" s="15"/>
      <c r="B20" s="15"/>
      <c r="C20" s="15"/>
      <c r="D20" s="15"/>
      <c r="E20" s="15"/>
      <c r="F20" s="15"/>
      <c r="G20" s="15"/>
      <c r="H20" s="15"/>
      <c r="I20" s="15"/>
      <c r="J20" s="15"/>
      <c r="K20" s="15"/>
      <c r="L20" s="15"/>
      <c r="M20" s="15"/>
      <c r="N20" s="15"/>
      <c r="O20" s="15"/>
      <c r="P20" s="15"/>
      <c r="Q20" s="15"/>
      <c r="R20" s="21"/>
    </row>
    <row r="21" spans="1:18" x14ac:dyDescent="0.25">
      <c r="A21" s="15"/>
      <c r="B21" s="15"/>
      <c r="C21" s="15"/>
      <c r="D21" s="15"/>
      <c r="E21" s="15"/>
      <c r="F21" s="15"/>
      <c r="G21" s="15"/>
      <c r="H21" s="15"/>
      <c r="I21" s="15"/>
      <c r="J21" s="15"/>
      <c r="K21" s="15"/>
      <c r="L21" s="15"/>
      <c r="M21" s="15"/>
      <c r="N21" s="15"/>
      <c r="O21" s="15"/>
      <c r="P21" s="15"/>
      <c r="Q21" s="15"/>
      <c r="R21" s="21"/>
    </row>
    <row r="22" spans="1:18" x14ac:dyDescent="0.25">
      <c r="A22" s="15"/>
      <c r="B22" s="15"/>
      <c r="C22" s="15"/>
      <c r="D22" s="15"/>
      <c r="E22" s="15"/>
      <c r="F22" s="15"/>
      <c r="G22" s="15"/>
      <c r="H22" s="15"/>
      <c r="I22" s="15"/>
      <c r="J22" s="15"/>
      <c r="K22" s="15"/>
      <c r="L22" s="15"/>
      <c r="M22" s="15"/>
      <c r="N22" s="15"/>
      <c r="O22" s="15"/>
      <c r="P22" s="15"/>
      <c r="Q22" s="15"/>
      <c r="R22" s="21"/>
    </row>
    <row r="23" spans="1:18" x14ac:dyDescent="0.25">
      <c r="A23" s="15"/>
      <c r="B23" s="15"/>
      <c r="C23" s="15"/>
      <c r="D23" s="15"/>
      <c r="E23" s="15"/>
      <c r="F23" s="15"/>
      <c r="G23" s="15"/>
      <c r="H23" s="15"/>
      <c r="I23" s="15"/>
      <c r="J23" s="15"/>
      <c r="K23" s="15"/>
      <c r="L23" s="15"/>
      <c r="M23" s="15"/>
      <c r="N23" s="15"/>
      <c r="O23" s="15"/>
      <c r="P23" s="15"/>
      <c r="Q23" s="15"/>
      <c r="R23" s="21"/>
    </row>
    <row r="24" spans="1:18" x14ac:dyDescent="0.25">
      <c r="A24" s="15"/>
      <c r="B24" s="15"/>
      <c r="C24" s="15"/>
      <c r="D24" s="15"/>
      <c r="E24" s="15"/>
      <c r="F24" s="15"/>
      <c r="G24" s="15"/>
      <c r="H24" s="15"/>
      <c r="I24" s="15"/>
      <c r="J24" s="15"/>
      <c r="K24" s="15"/>
      <c r="L24" s="15"/>
      <c r="M24" s="15"/>
      <c r="N24" s="15"/>
      <c r="O24" s="15"/>
      <c r="P24" s="15"/>
      <c r="Q24" s="15"/>
      <c r="R24" s="21"/>
    </row>
    <row r="25" spans="1:18" x14ac:dyDescent="0.25">
      <c r="A25" s="15"/>
      <c r="B25" s="15"/>
      <c r="C25" s="15"/>
      <c r="D25" s="15"/>
      <c r="E25" s="15"/>
      <c r="F25" s="15"/>
      <c r="G25" s="15"/>
      <c r="H25" s="15"/>
      <c r="I25" s="15"/>
      <c r="J25" s="15"/>
      <c r="K25" s="15"/>
      <c r="L25" s="15"/>
      <c r="M25" s="15"/>
      <c r="N25" s="15"/>
      <c r="O25" s="15"/>
      <c r="P25" s="15"/>
      <c r="Q25" s="15"/>
      <c r="R25" s="21"/>
    </row>
    <row r="26" spans="1:18" x14ac:dyDescent="0.25">
      <c r="A26" s="15"/>
      <c r="B26" s="15"/>
      <c r="C26" s="15"/>
      <c r="D26" s="15"/>
      <c r="E26" s="15"/>
      <c r="F26" s="15"/>
      <c r="G26" s="15"/>
      <c r="H26" s="15"/>
      <c r="I26" s="15"/>
      <c r="J26" s="15"/>
      <c r="K26" s="15"/>
      <c r="L26" s="15"/>
      <c r="M26" s="15"/>
      <c r="N26" s="15"/>
      <c r="O26" s="15"/>
      <c r="P26" s="15"/>
      <c r="Q26" s="15"/>
      <c r="R26" s="21"/>
    </row>
    <row r="27" spans="1:18" x14ac:dyDescent="0.25">
      <c r="A27" s="15"/>
      <c r="B27" s="15"/>
      <c r="C27" s="15"/>
      <c r="D27" s="15"/>
      <c r="E27" s="15"/>
      <c r="F27" s="15"/>
      <c r="G27" s="15"/>
      <c r="H27" s="15"/>
      <c r="I27" s="15"/>
      <c r="J27" s="15"/>
      <c r="K27" s="15"/>
      <c r="L27" s="15"/>
      <c r="M27" s="15"/>
      <c r="N27" s="15"/>
      <c r="O27" s="15"/>
      <c r="P27" s="15"/>
      <c r="Q27" s="15"/>
      <c r="R27" s="21"/>
    </row>
    <row r="28" spans="1:18" x14ac:dyDescent="0.25">
      <c r="A28" s="15"/>
      <c r="B28" s="15"/>
      <c r="C28" s="15"/>
      <c r="D28" s="15"/>
      <c r="E28" s="15"/>
      <c r="F28" s="15"/>
      <c r="G28" s="15"/>
      <c r="H28" s="15"/>
      <c r="I28" s="15"/>
      <c r="J28" s="15"/>
      <c r="K28" s="15"/>
      <c r="L28" s="15"/>
      <c r="M28" s="15"/>
      <c r="N28" s="15"/>
      <c r="O28" s="15"/>
      <c r="P28" s="15"/>
      <c r="Q28" s="15"/>
      <c r="R28" s="21"/>
    </row>
    <row r="29" spans="1:18" x14ac:dyDescent="0.25">
      <c r="A29" s="15"/>
      <c r="B29" s="15"/>
      <c r="C29" s="15"/>
      <c r="D29" s="15"/>
      <c r="E29" s="15"/>
      <c r="F29" s="15"/>
      <c r="G29" s="15"/>
      <c r="H29" s="15"/>
      <c r="I29" s="15"/>
      <c r="J29" s="15"/>
      <c r="K29" s="15"/>
      <c r="L29" s="15"/>
      <c r="M29" s="15"/>
      <c r="N29" s="15"/>
      <c r="O29" s="15"/>
      <c r="P29" s="15"/>
      <c r="Q29" s="15"/>
      <c r="R29" s="21"/>
    </row>
    <row r="30" spans="1:18" x14ac:dyDescent="0.25">
      <c r="A30" s="15"/>
      <c r="B30" s="15"/>
      <c r="C30" s="15"/>
      <c r="D30" s="15"/>
      <c r="E30" s="15"/>
      <c r="F30" s="15"/>
      <c r="G30" s="15"/>
      <c r="H30" s="15"/>
      <c r="I30" s="15"/>
      <c r="J30" s="15"/>
      <c r="K30" s="15"/>
      <c r="L30" s="15"/>
      <c r="M30" s="15"/>
      <c r="N30" s="15"/>
      <c r="O30" s="15"/>
      <c r="P30" s="15"/>
      <c r="Q30" s="15"/>
      <c r="R30" s="21"/>
    </row>
    <row r="31" spans="1:18" x14ac:dyDescent="0.25">
      <c r="A31" s="15"/>
      <c r="B31" s="15"/>
      <c r="C31" s="15"/>
      <c r="D31" s="15"/>
      <c r="E31" s="15"/>
      <c r="F31" s="15"/>
      <c r="G31" s="15"/>
      <c r="H31" s="15"/>
      <c r="I31" s="15"/>
      <c r="J31" s="15"/>
      <c r="K31" s="15"/>
      <c r="L31" s="15"/>
      <c r="M31" s="15"/>
      <c r="N31" s="15"/>
      <c r="O31" s="15"/>
      <c r="P31" s="15"/>
      <c r="Q31" s="15"/>
      <c r="R31" s="21"/>
    </row>
    <row r="32" spans="1:18" x14ac:dyDescent="0.25">
      <c r="A32" s="15"/>
      <c r="B32" s="15"/>
      <c r="C32" s="15"/>
      <c r="D32" s="15"/>
      <c r="E32" s="15"/>
      <c r="F32" s="15"/>
      <c r="G32" s="15"/>
      <c r="H32" s="15"/>
      <c r="I32" s="15"/>
      <c r="J32" s="15"/>
      <c r="K32" s="15"/>
      <c r="L32" s="15"/>
      <c r="M32" s="15"/>
      <c r="N32" s="15"/>
      <c r="O32" s="15"/>
      <c r="P32" s="15"/>
      <c r="Q32" s="15"/>
      <c r="R32" s="21"/>
    </row>
    <row r="33" spans="1:18" x14ac:dyDescent="0.25">
      <c r="A33" s="15"/>
      <c r="B33" s="15"/>
      <c r="C33" s="15"/>
      <c r="D33" s="15"/>
      <c r="E33" s="15"/>
      <c r="F33" s="15"/>
      <c r="G33" s="15"/>
      <c r="H33" s="15"/>
      <c r="I33" s="15"/>
      <c r="J33" s="15"/>
      <c r="K33" s="15"/>
      <c r="L33" s="15"/>
      <c r="M33" s="15"/>
      <c r="N33" s="15"/>
      <c r="O33" s="15"/>
      <c r="P33" s="15"/>
      <c r="Q33" s="15"/>
      <c r="R33" s="21"/>
    </row>
    <row r="34" spans="1:18" x14ac:dyDescent="0.25">
      <c r="A34" s="15"/>
      <c r="B34" s="15"/>
      <c r="C34" s="15"/>
      <c r="D34" s="15"/>
      <c r="E34" s="15"/>
      <c r="F34" s="15"/>
      <c r="G34" s="15"/>
      <c r="H34" s="15"/>
      <c r="I34" s="15"/>
      <c r="J34" s="15"/>
      <c r="K34" s="15"/>
      <c r="L34" s="15"/>
      <c r="M34" s="15"/>
      <c r="N34" s="15"/>
      <c r="O34" s="15"/>
      <c r="P34" s="15"/>
      <c r="Q34" s="15"/>
      <c r="R34" s="21"/>
    </row>
    <row r="35" spans="1:18" x14ac:dyDescent="0.25">
      <c r="A35" s="15"/>
      <c r="B35" s="15"/>
      <c r="C35" s="15"/>
      <c r="D35" s="15"/>
      <c r="E35" s="15"/>
      <c r="F35" s="15"/>
      <c r="G35" s="15"/>
      <c r="H35" s="15"/>
      <c r="I35" s="15"/>
      <c r="J35" s="15"/>
      <c r="K35" s="15"/>
      <c r="L35" s="15"/>
      <c r="M35" s="15"/>
      <c r="N35" s="15"/>
      <c r="O35" s="15"/>
      <c r="P35" s="15"/>
      <c r="Q35" s="15"/>
      <c r="R35" s="21"/>
    </row>
    <row r="36" spans="1:18" x14ac:dyDescent="0.25">
      <c r="A36" s="15"/>
      <c r="B36" s="15"/>
      <c r="C36" s="15"/>
      <c r="D36" s="15"/>
      <c r="E36" s="15"/>
      <c r="F36" s="15"/>
      <c r="G36" s="15"/>
      <c r="H36" s="15"/>
      <c r="I36" s="15"/>
      <c r="J36" s="15"/>
      <c r="K36" s="15"/>
      <c r="L36" s="15"/>
      <c r="M36" s="15"/>
      <c r="N36" s="15"/>
      <c r="O36" s="15"/>
      <c r="P36" s="15"/>
      <c r="Q36" s="15"/>
      <c r="R36" s="21"/>
    </row>
    <row r="37" spans="1:18" x14ac:dyDescent="0.25">
      <c r="A37" s="15"/>
      <c r="B37" s="15"/>
      <c r="C37" s="15"/>
      <c r="D37" s="15"/>
      <c r="E37" s="15"/>
      <c r="F37" s="15"/>
      <c r="G37" s="15"/>
      <c r="H37" s="15"/>
      <c r="I37" s="15"/>
      <c r="J37" s="15"/>
      <c r="K37" s="15"/>
      <c r="L37" s="15"/>
      <c r="M37" s="15"/>
      <c r="N37" s="15"/>
      <c r="O37" s="15"/>
      <c r="P37" s="15"/>
      <c r="Q37" s="15"/>
      <c r="R37" s="21"/>
    </row>
    <row r="38" spans="1:18" x14ac:dyDescent="0.25">
      <c r="A38" s="15"/>
      <c r="B38" s="15"/>
      <c r="C38" s="15"/>
      <c r="D38" s="15"/>
      <c r="E38" s="15"/>
      <c r="F38" s="15"/>
      <c r="G38" s="15"/>
      <c r="H38" s="15"/>
      <c r="I38" s="15"/>
      <c r="J38" s="15"/>
      <c r="K38" s="15"/>
      <c r="L38" s="15"/>
      <c r="M38" s="15"/>
      <c r="N38" s="15"/>
      <c r="O38" s="15"/>
      <c r="P38" s="15"/>
      <c r="Q38" s="15"/>
      <c r="R38" s="21"/>
    </row>
    <row r="39" spans="1:18" x14ac:dyDescent="0.25">
      <c r="A39" s="15"/>
      <c r="B39" s="15"/>
      <c r="C39" s="15"/>
      <c r="D39" s="15"/>
      <c r="E39" s="15"/>
      <c r="F39" s="15"/>
      <c r="G39" s="15"/>
      <c r="H39" s="15"/>
      <c r="I39" s="15"/>
      <c r="J39" s="15"/>
      <c r="K39" s="15"/>
      <c r="L39" s="15"/>
      <c r="M39" s="15"/>
      <c r="N39" s="15"/>
      <c r="O39" s="15"/>
      <c r="P39" s="15"/>
      <c r="Q39" s="15"/>
      <c r="R39" s="21"/>
    </row>
  </sheetData>
  <mergeCells count="1">
    <mergeCell ref="A1:Q1"/>
  </mergeCells>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AE78208-3AED-40E4-92C5-D522D7665560}">
  <ds:schemaRefs/>
</ds:datastoreItem>
</file>

<file path=customXml/itemProps2.xml><?xml version="1.0" encoding="utf-8"?>
<ds:datastoreItem xmlns:ds="http://schemas.openxmlformats.org/officeDocument/2006/customXml" ds:itemID="{DE0218FB-F95B-47E0-885B-E709716A7A54}">
  <ds:schemaRefs/>
</ds:datastoreItem>
</file>

<file path=customXml/itemProps3.xml><?xml version="1.0" encoding="utf-8"?>
<ds:datastoreItem xmlns:ds="http://schemas.openxmlformats.org/officeDocument/2006/customXml" ds:itemID="{51CA5F1B-470A-4735-A0F5-A4B7CB981340}">
  <ds:schemaRefs/>
</ds:datastoreItem>
</file>

<file path=customXml/itemProps4.xml><?xml version="1.0" encoding="utf-8"?>
<ds:datastoreItem xmlns:ds="http://schemas.openxmlformats.org/officeDocument/2006/customXml" ds:itemID="{9EC6E428-C7B6-44BC-A7B6-E729AF37079A}">
  <ds:schemaRefs>
    <ds:schemaRef ds:uri="http://schemas.microsoft.com/DataMashup"/>
  </ds:schemaRefs>
</ds:datastoreItem>
</file>

<file path=customXml/itemProps5.xml><?xml version="1.0" encoding="utf-8"?>
<ds:datastoreItem xmlns:ds="http://schemas.openxmlformats.org/officeDocument/2006/customXml" ds:itemID="{06FC1DC2-CCD4-4521-B513-3797FB4A3071}">
  <ds:schemaRefs/>
</ds:datastoreItem>
</file>

<file path=customXml/itemProps6.xml><?xml version="1.0" encoding="utf-8"?>
<ds:datastoreItem xmlns:ds="http://schemas.openxmlformats.org/officeDocument/2006/customXml" ds:itemID="{3A93D0FA-5169-444E-A602-F626839BD3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Project 2;Online_Course_Sales</vt:lpstr>
      <vt:lpstr>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James Nderitu</cp:lastModifiedBy>
  <dcterms:created xsi:type="dcterms:W3CDTF">2025-07-19T10:58:00Z</dcterms:created>
  <dcterms:modified xsi:type="dcterms:W3CDTF">2026-04-15T15:18:15Z</dcterms:modified>
</cp:coreProperties>
</file>